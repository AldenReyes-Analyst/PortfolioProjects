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ownloads\"/>
    </mc:Choice>
  </mc:AlternateContent>
  <xr:revisionPtr revIDLastSave="0" documentId="13_ncr:1_{9FD3F9F7-0EE9-40A6-A205-9AAC4EAB0CD4}" xr6:coauthVersionLast="47" xr6:coauthVersionMax="47" xr10:uidLastSave="{00000000-0000-0000-0000-000000000000}"/>
  <bookViews>
    <workbookView xWindow="-28920" yWindow="-240" windowWidth="29040" windowHeight="164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4" i="4" a="1"/>
  <c r="M5" i="4" a="1"/>
  <c r="M6" i="4" a="1"/>
  <c r="M7" i="4" a="1"/>
  <c r="M8" i="4" a="1"/>
  <c r="M9" i="4" a="1"/>
  <c r="M10" i="4" a="1"/>
  <c r="M11" i="4" a="1"/>
  <c r="M12" i="4" a="1"/>
  <c r="M13" i="4" a="1"/>
  <c r="M14" i="4" a="1"/>
  <c r="M15" i="4" a="1"/>
  <c r="M16" i="4" a="1"/>
  <c r="M17" i="4" a="1"/>
  <c r="M18" i="4" a="1"/>
  <c r="M19" i="4" a="1"/>
  <c r="M20" i="4" a="1"/>
  <c r="M21" i="4" a="1"/>
  <c r="M22" i="4" a="1"/>
  <c r="M23" i="4" a="1"/>
  <c r="M24" i="4" a="1"/>
  <c r="M25" i="4" a="1"/>
  <c r="M26" i="4" a="1"/>
  <c r="M27" i="4" a="1"/>
  <c r="M28" i="4" a="1"/>
  <c r="M29" i="4" a="1"/>
  <c r="M30" i="4" a="1"/>
  <c r="M31" i="4" a="1"/>
  <c r="M32" i="4" a="1"/>
  <c r="M33" i="4" a="1"/>
  <c r="M34" i="4" a="1"/>
  <c r="M35" i="4" a="1"/>
  <c r="M36" i="4" a="1"/>
  <c r="M37" i="4" a="1"/>
  <c r="M38" i="4" a="1"/>
  <c r="M39" i="4" a="1"/>
  <c r="M40" i="4" a="1"/>
  <c r="M41" i="4" a="1"/>
  <c r="M42" i="4" a="1"/>
  <c r="M43" i="4" a="1"/>
  <c r="M44" i="4" a="1"/>
  <c r="M45" i="4" a="1"/>
  <c r="M46" i="4" a="1"/>
  <c r="M47" i="4" a="1"/>
  <c r="M48" i="4" a="1"/>
  <c r="M49" i="4" a="1"/>
  <c r="M50" i="4" a="1"/>
  <c r="M51" i="4" a="1"/>
  <c r="M52" i="4" a="1"/>
  <c r="M53" i="4" a="1"/>
  <c r="M54" i="4" a="1"/>
  <c r="M55" i="4" a="1"/>
  <c r="M56" i="4" a="1"/>
  <c r="M57" i="4" a="1"/>
  <c r="M58" i="4" a="1"/>
  <c r="M59" i="4" a="1"/>
  <c r="M60" i="4" a="1"/>
  <c r="M61" i="4" a="1"/>
  <c r="M62" i="4" a="1"/>
  <c r="M63" i="4" a="1"/>
  <c r="M64" i="4" a="1"/>
  <c r="M65" i="4" a="1"/>
  <c r="M66" i="4" a="1"/>
  <c r="M67" i="4" a="1"/>
  <c r="M68" i="4" a="1"/>
  <c r="M69" i="4" a="1"/>
  <c r="M70" i="4" a="1"/>
  <c r="M71" i="4" a="1"/>
  <c r="M72" i="4" a="1"/>
  <c r="M73" i="4" a="1"/>
  <c r="M74" i="4" a="1"/>
  <c r="M75" i="4" a="1"/>
  <c r="M76" i="4" a="1"/>
  <c r="M77" i="4" a="1"/>
  <c r="M78" i="4" a="1"/>
  <c r="M79" i="4" a="1"/>
  <c r="M80" i="4" a="1"/>
  <c r="M81" i="4" a="1"/>
  <c r="M82" i="4" a="1"/>
  <c r="M83" i="4" a="1"/>
  <c r="M84" i="4" a="1"/>
  <c r="M85" i="4" a="1"/>
  <c r="M86" i="4" a="1"/>
  <c r="M87" i="4" a="1"/>
  <c r="M88" i="4" a="1"/>
  <c r="M89" i="4" a="1"/>
  <c r="M90" i="4" a="1"/>
  <c r="M91" i="4" a="1"/>
  <c r="M92" i="4" a="1"/>
  <c r="M93" i="4" a="1"/>
  <c r="M94" i="4" a="1"/>
  <c r="M95" i="4" a="1"/>
  <c r="M96" i="4" a="1"/>
  <c r="M97" i="4" a="1"/>
  <c r="M98" i="4" a="1"/>
  <c r="M99" i="4" a="1"/>
  <c r="M100" i="4" a="1"/>
  <c r="M101" i="4" a="1"/>
  <c r="M102" i="4" a="1"/>
  <c r="M103" i="4" a="1"/>
  <c r="M104" i="4" a="1"/>
  <c r="M105" i="4" a="1"/>
  <c r="M106" i="4" a="1"/>
  <c r="M107" i="4" a="1"/>
  <c r="M108" i="4" a="1"/>
  <c r="M109" i="4" a="1"/>
  <c r="M110" i="4" a="1"/>
  <c r="M111" i="4" a="1"/>
  <c r="M112" i="4" a="1"/>
  <c r="M113" i="4" a="1"/>
  <c r="M114" i="4" a="1"/>
  <c r="M115" i="4" a="1"/>
  <c r="M116" i="4" a="1"/>
  <c r="M117" i="4" a="1"/>
  <c r="M118" i="4" a="1"/>
  <c r="M119" i="4" a="1"/>
  <c r="M120" i="4" a="1"/>
  <c r="M121" i="4" a="1"/>
  <c r="M122" i="4" a="1"/>
  <c r="M123" i="4" a="1"/>
  <c r="M124" i="4" a="1"/>
  <c r="M125" i="4" a="1"/>
  <c r="M126" i="4" a="1"/>
  <c r="M127" i="4" a="1"/>
  <c r="M128" i="4" a="1"/>
  <c r="M129" i="4" a="1"/>
  <c r="M130" i="4" a="1"/>
  <c r="M131" i="4" a="1"/>
  <c r="M132" i="4" a="1"/>
  <c r="M133" i="4" a="1"/>
  <c r="M134" i="4" a="1"/>
  <c r="M135" i="4" a="1"/>
  <c r="M136" i="4" a="1"/>
  <c r="M137" i="4" a="1"/>
  <c r="M138" i="4" a="1"/>
  <c r="M139" i="4" a="1"/>
  <c r="M140" i="4" a="1"/>
  <c r="M141" i="4" a="1"/>
  <c r="M142" i="4" a="1"/>
  <c r="M143" i="4" a="1"/>
  <c r="M144" i="4" a="1"/>
  <c r="M145" i="4" a="1"/>
  <c r="M146" i="4" a="1"/>
  <c r="M147" i="4" a="1"/>
  <c r="M148" i="4" a="1"/>
  <c r="M149" i="4" a="1"/>
  <c r="M150" i="4" a="1"/>
  <c r="M151" i="4" a="1"/>
  <c r="M152" i="4" a="1"/>
  <c r="M153" i="4" a="1"/>
  <c r="M154" i="4" a="1"/>
  <c r="M155" i="4" a="1"/>
  <c r="M156" i="4" a="1"/>
  <c r="M157" i="4" a="1"/>
  <c r="M158" i="4" a="1"/>
  <c r="M159" i="4" a="1"/>
  <c r="M160" i="4" a="1"/>
  <c r="M161" i="4" a="1"/>
  <c r="M162" i="4" a="1"/>
  <c r="M163" i="4" a="1"/>
  <c r="M164" i="4" a="1"/>
  <c r="M165" i="4" a="1"/>
  <c r="M166" i="4" a="1"/>
  <c r="M167" i="4" a="1"/>
  <c r="M168" i="4" a="1"/>
  <c r="M169" i="4" a="1"/>
  <c r="M170" i="4" a="1"/>
  <c r="M171" i="4" a="1"/>
  <c r="M172" i="4" a="1"/>
  <c r="M173" i="4" a="1"/>
  <c r="M174" i="4" a="1"/>
  <c r="M175" i="4" a="1"/>
  <c r="M176" i="4" a="1"/>
  <c r="M177" i="4" a="1"/>
  <c r="M178" i="4" a="1"/>
  <c r="M179" i="4" a="1"/>
  <c r="M180" i="4" a="1"/>
  <c r="M181" i="4" a="1"/>
  <c r="M182" i="4" a="1"/>
  <c r="M183" i="4" a="1"/>
  <c r="M184" i="4" a="1"/>
  <c r="M185" i="4" a="1"/>
  <c r="M186" i="4" a="1"/>
  <c r="M187" i="4" a="1"/>
  <c r="M188" i="4" a="1"/>
  <c r="M189" i="4" a="1"/>
  <c r="M190" i="4" a="1"/>
  <c r="M191" i="4" a="1"/>
  <c r="M192" i="4" a="1"/>
  <c r="M193" i="4" a="1"/>
  <c r="M194" i="4" a="1"/>
  <c r="M195" i="4" a="1"/>
  <c r="M196" i="4" a="1"/>
  <c r="M197" i="4" a="1"/>
  <c r="M198" i="4" a="1"/>
  <c r="M199" i="4" a="1"/>
  <c r="M200" i="4" a="1"/>
  <c r="M201" i="4" a="1"/>
  <c r="M202" i="4" a="1"/>
  <c r="M203" i="4" a="1"/>
  <c r="M204" i="4" a="1"/>
  <c r="M205" i="4" a="1"/>
  <c r="M206" i="4" a="1"/>
  <c r="M207" i="4" a="1"/>
  <c r="M208" i="4" a="1"/>
  <c r="M209" i="4" a="1"/>
  <c r="M210" i="4" a="1"/>
  <c r="M211" i="4" a="1"/>
  <c r="M212" i="4" a="1"/>
  <c r="M213" i="4" a="1"/>
  <c r="M214" i="4" a="1"/>
  <c r="M215" i="4" a="1"/>
  <c r="M216" i="4" a="1"/>
  <c r="M217" i="4" a="1"/>
  <c r="M218" i="4" a="1"/>
  <c r="M219" i="4" a="1"/>
  <c r="M220" i="4" a="1"/>
  <c r="M221" i="4" a="1"/>
  <c r="M222" i="4" a="1"/>
  <c r="M223" i="4" a="1"/>
  <c r="M224" i="4" a="1"/>
  <c r="M225" i="4" a="1"/>
  <c r="M226" i="4" a="1"/>
  <c r="M227" i="4" a="1"/>
  <c r="M228" i="4" a="1"/>
  <c r="M229" i="4" a="1"/>
  <c r="M230" i="4" a="1"/>
  <c r="M231" i="4" a="1"/>
  <c r="M232" i="4" a="1"/>
  <c r="M233" i="4" a="1"/>
  <c r="M234" i="4" a="1"/>
  <c r="M235" i="4" a="1"/>
  <c r="M236" i="4" a="1"/>
  <c r="M237" i="4" a="1"/>
  <c r="M238" i="4" a="1"/>
  <c r="M239" i="4" a="1"/>
  <c r="M240" i="4" a="1"/>
  <c r="M241" i="4" a="1"/>
  <c r="M242" i="4" a="1"/>
  <c r="M243" i="4" a="1"/>
  <c r="M244" i="4" a="1"/>
  <c r="M245" i="4" a="1"/>
  <c r="M246" i="4" a="1"/>
  <c r="M247" i="4" a="1"/>
  <c r="M248" i="4" a="1"/>
  <c r="M249" i="4" a="1"/>
  <c r="M250" i="4" a="1"/>
  <c r="M251" i="4" a="1"/>
  <c r="M252" i="4" a="1"/>
  <c r="M253" i="4" a="1"/>
  <c r="M254" i="4" a="1"/>
  <c r="M255" i="4" a="1"/>
  <c r="M256" i="4" a="1"/>
  <c r="M257" i="4" a="1"/>
  <c r="M258" i="4" a="1"/>
  <c r="M259" i="4" a="1"/>
  <c r="M260" i="4" a="1"/>
  <c r="M261" i="4" a="1"/>
  <c r="M262" i="4" a="1"/>
  <c r="M263" i="4" a="1"/>
  <c r="M264" i="4" a="1"/>
  <c r="M265" i="4" a="1"/>
  <c r="M266" i="4" a="1"/>
  <c r="M267" i="4" a="1"/>
  <c r="M268" i="4" a="1"/>
  <c r="M269" i="4" a="1"/>
  <c r="M270" i="4" a="1"/>
  <c r="M271" i="4" a="1"/>
  <c r="M272" i="4" a="1"/>
  <c r="M273" i="4" a="1"/>
  <c r="M274" i="4" a="1"/>
  <c r="M275" i="4" a="1"/>
  <c r="M276" i="4" a="1"/>
  <c r="M277" i="4" a="1"/>
  <c r="M278" i="4" a="1"/>
  <c r="M279" i="4" a="1"/>
  <c r="M280" i="4" a="1"/>
  <c r="M281" i="4" a="1"/>
  <c r="M282" i="4" a="1"/>
  <c r="M283" i="4" a="1"/>
  <c r="M284" i="4" a="1"/>
  <c r="M285" i="4" a="1"/>
  <c r="M286" i="4" a="1"/>
  <c r="M287" i="4" a="1"/>
  <c r="M288" i="4" a="1"/>
  <c r="M289" i="4" a="1"/>
  <c r="M290" i="4" a="1"/>
  <c r="M291" i="4" a="1"/>
  <c r="M292" i="4" a="1"/>
  <c r="M293" i="4" a="1"/>
  <c r="M294" i="4" a="1"/>
  <c r="M295" i="4" a="1"/>
  <c r="M296" i="4" a="1"/>
  <c r="M297" i="4" a="1"/>
  <c r="M298" i="4" a="1"/>
  <c r="M299" i="4" a="1"/>
  <c r="M300" i="4" a="1"/>
  <c r="M301" i="4" a="1"/>
  <c r="M302" i="4" a="1"/>
  <c r="M303" i="4" a="1"/>
  <c r="M304" i="4" a="1"/>
  <c r="M305" i="4" a="1"/>
  <c r="M306" i="4" a="1"/>
  <c r="M307" i="4" a="1"/>
  <c r="M308" i="4" a="1"/>
  <c r="M309" i="4" a="1"/>
  <c r="M310" i="4" a="1"/>
  <c r="M311" i="4" a="1"/>
  <c r="M312" i="4" a="1"/>
  <c r="M313" i="4" a="1"/>
  <c r="M314" i="4" a="1"/>
  <c r="M315" i="4" a="1"/>
  <c r="M316" i="4" a="1"/>
  <c r="M317" i="4" a="1"/>
  <c r="M318" i="4" a="1"/>
  <c r="M319" i="4" a="1"/>
  <c r="M320" i="4" a="1"/>
  <c r="M321" i="4" a="1"/>
  <c r="M322" i="4" a="1"/>
  <c r="M323" i="4" a="1"/>
  <c r="M324" i="4" a="1"/>
  <c r="M325" i="4" a="1"/>
  <c r="M326" i="4" a="1"/>
  <c r="M327" i="4" a="1"/>
  <c r="M328" i="4" a="1"/>
  <c r="M329" i="4" a="1"/>
  <c r="M330" i="4" a="1"/>
  <c r="M331" i="4" a="1"/>
  <c r="M332" i="4" a="1"/>
  <c r="M333" i="4" a="1"/>
  <c r="M334" i="4" a="1"/>
  <c r="M335" i="4" a="1"/>
  <c r="M336" i="4" a="1"/>
  <c r="M337" i="4" a="1"/>
  <c r="M338" i="4" a="1"/>
  <c r="M339" i="4" a="1"/>
  <c r="M340" i="4" a="1"/>
  <c r="M341" i="4" a="1"/>
  <c r="M342" i="4" a="1"/>
  <c r="M343" i="4" a="1"/>
  <c r="M344" i="4" a="1"/>
  <c r="M345" i="4" a="1"/>
  <c r="M346" i="4" a="1"/>
  <c r="M347" i="4" a="1"/>
  <c r="M348" i="4" a="1"/>
  <c r="M349" i="4" a="1"/>
  <c r="M350" i="4" a="1"/>
  <c r="M351" i="4" a="1"/>
  <c r="M352" i="4" a="1"/>
  <c r="M353" i="4" a="1"/>
  <c r="M354" i="4" a="1"/>
  <c r="M355" i="4" a="1"/>
  <c r="M356" i="4" a="1"/>
  <c r="M357" i="4" a="1"/>
  <c r="M358" i="4" a="1"/>
  <c r="M359" i="4" a="1"/>
  <c r="M360" i="4" a="1"/>
  <c r="M361" i="4" a="1"/>
  <c r="M362" i="4" a="1"/>
  <c r="M363" i="4" a="1"/>
  <c r="M364" i="4" a="1"/>
  <c r="M365" i="4" a="1"/>
  <c r="M366" i="4" a="1"/>
  <c r="M367" i="4" a="1"/>
  <c r="M368" i="4" a="1"/>
  <c r="M369" i="4" a="1"/>
  <c r="M370" i="4" a="1"/>
  <c r="M371" i="4" a="1"/>
  <c r="M372" i="4" a="1"/>
  <c r="M373" i="4" a="1"/>
  <c r="M374" i="4" a="1"/>
  <c r="M375" i="4" a="1"/>
  <c r="M376" i="4" a="1"/>
  <c r="M377" i="4" a="1"/>
  <c r="M378" i="4" a="1"/>
  <c r="M379" i="4" a="1"/>
  <c r="M380" i="4" a="1"/>
  <c r="M381" i="4" a="1"/>
  <c r="M382" i="4" a="1"/>
  <c r="M383" i="4" a="1"/>
  <c r="M384" i="4" a="1"/>
  <c r="M385" i="4" a="1"/>
  <c r="M386" i="4" a="1"/>
  <c r="M387" i="4" a="1"/>
  <c r="M388" i="4" a="1"/>
  <c r="M389" i="4" a="1"/>
  <c r="M390" i="4" a="1"/>
  <c r="M391" i="4" a="1"/>
  <c r="M392" i="4" a="1"/>
  <c r="M393" i="4" a="1"/>
  <c r="M394" i="4" a="1"/>
  <c r="M395" i="4" a="1"/>
  <c r="M396" i="4" a="1"/>
  <c r="M397" i="4" a="1"/>
  <c r="M398" i="4" a="1"/>
  <c r="M399" i="4" a="1"/>
  <c r="M400" i="4" a="1"/>
  <c r="M401" i="4" a="1"/>
  <c r="M402" i="4" a="1"/>
  <c r="M403" i="4" a="1"/>
  <c r="M404" i="4" a="1"/>
  <c r="M405" i="4" a="1"/>
  <c r="M406" i="4" a="1"/>
  <c r="M407" i="4" a="1"/>
  <c r="M408" i="4" a="1"/>
  <c r="M409" i="4" a="1"/>
  <c r="M410" i="4" a="1"/>
  <c r="M411" i="4" a="1"/>
  <c r="M412" i="4" a="1"/>
  <c r="M413" i="4" a="1"/>
  <c r="M414" i="4" a="1"/>
  <c r="M415" i="4" a="1"/>
  <c r="M416" i="4" a="1"/>
  <c r="M417" i="4" a="1"/>
  <c r="M418" i="4" a="1"/>
  <c r="M419" i="4" a="1"/>
  <c r="M420" i="4" a="1"/>
  <c r="M421" i="4" a="1"/>
  <c r="M422" i="4" a="1"/>
  <c r="M423" i="4" a="1"/>
  <c r="M424" i="4" a="1"/>
  <c r="M425" i="4" a="1"/>
  <c r="M426" i="4" a="1"/>
  <c r="M427" i="4" a="1"/>
  <c r="M428" i="4" a="1"/>
  <c r="M429" i="4" a="1"/>
  <c r="M430" i="4" a="1"/>
  <c r="M431" i="4" a="1"/>
  <c r="M432" i="4" a="1"/>
  <c r="M433" i="4" a="1"/>
  <c r="M434" i="4" a="1"/>
  <c r="M435" i="4" a="1"/>
  <c r="M436" i="4" a="1"/>
  <c r="M437" i="4" a="1"/>
  <c r="M438" i="4" a="1"/>
  <c r="M439" i="4" a="1"/>
  <c r="M440" i="4" a="1"/>
  <c r="M441" i="4" a="1"/>
  <c r="M442" i="4" a="1"/>
  <c r="M443" i="4" a="1"/>
  <c r="M444" i="4" a="1"/>
  <c r="M445" i="4" a="1"/>
  <c r="M446" i="4" a="1"/>
  <c r="M447" i="4" a="1"/>
  <c r="M448" i="4" a="1"/>
  <c r="M449" i="4" a="1"/>
  <c r="M450" i="4" a="1"/>
  <c r="M451" i="4" a="1"/>
  <c r="M452" i="4" a="1"/>
  <c r="M453" i="4" a="1"/>
  <c r="M454" i="4" a="1"/>
  <c r="M455" i="4" a="1"/>
  <c r="M456" i="4" a="1"/>
  <c r="M457" i="4" a="1"/>
  <c r="M458" i="4" a="1"/>
  <c r="M459" i="4" a="1"/>
  <c r="M460" i="4" a="1"/>
  <c r="M461" i="4" a="1"/>
  <c r="M462" i="4" a="1"/>
  <c r="M463" i="4" a="1"/>
  <c r="M464" i="4" a="1"/>
  <c r="M465" i="4" a="1"/>
  <c r="M466" i="4" a="1"/>
  <c r="M467" i="4" a="1"/>
  <c r="M468" i="4" a="1"/>
  <c r="M469" i="4" a="1"/>
  <c r="M470" i="4" a="1"/>
  <c r="M471" i="4" a="1"/>
  <c r="M472" i="4" a="1"/>
  <c r="M473" i="4" a="1"/>
  <c r="M474" i="4" a="1"/>
  <c r="M475" i="4" a="1"/>
  <c r="M476" i="4" a="1"/>
  <c r="M477" i="4" a="1"/>
  <c r="M478" i="4" a="1"/>
  <c r="M479" i="4" a="1"/>
  <c r="M480" i="4" a="1"/>
  <c r="M481" i="4" a="1"/>
  <c r="M482" i="4" a="1"/>
  <c r="M483" i="4" a="1"/>
  <c r="M484" i="4" a="1"/>
  <c r="M485" i="4" a="1"/>
  <c r="M486" i="4" a="1"/>
  <c r="M487" i="4" a="1"/>
  <c r="M488" i="4" a="1"/>
  <c r="M489" i="4" a="1"/>
  <c r="M490" i="4" a="1"/>
  <c r="M491" i="4" a="1"/>
  <c r="M492" i="4" a="1"/>
  <c r="M493" i="4" a="1"/>
  <c r="M494" i="4" a="1"/>
  <c r="M495" i="4" a="1"/>
  <c r="M496" i="4" a="1"/>
  <c r="M497" i="4" a="1"/>
  <c r="M498" i="4" a="1"/>
  <c r="M499" i="4" a="1"/>
  <c r="M500" i="4" a="1"/>
  <c r="M501" i="4" a="1"/>
  <c r="M502" i="4" a="1"/>
  <c r="M503" i="4" a="1"/>
  <c r="M504" i="4" a="1"/>
  <c r="M505" i="4" a="1"/>
  <c r="M506" i="4" a="1"/>
  <c r="M507" i="4" a="1"/>
  <c r="M508" i="4" a="1"/>
  <c r="M509" i="4" a="1"/>
  <c r="M510" i="4" a="1"/>
  <c r="M511" i="4" a="1"/>
  <c r="M512" i="4" a="1"/>
  <c r="M513" i="4" a="1"/>
  <c r="M514" i="4" a="1"/>
  <c r="M515" i="4" a="1"/>
  <c r="M516" i="4" a="1"/>
  <c r="M517" i="4" a="1"/>
  <c r="M518" i="4" a="1"/>
  <c r="M519" i="4" a="1"/>
  <c r="M520" i="4" a="1"/>
  <c r="M521" i="4" a="1"/>
  <c r="M522" i="4" a="1"/>
  <c r="M523" i="4" a="1"/>
  <c r="M524" i="4" a="1"/>
  <c r="M525" i="4" a="1"/>
  <c r="M526" i="4" a="1"/>
  <c r="M527" i="4" a="1"/>
  <c r="M528" i="4" a="1"/>
  <c r="M529" i="4" a="1"/>
  <c r="M530" i="4" a="1"/>
  <c r="M531" i="4" a="1"/>
  <c r="M532" i="4" a="1"/>
  <c r="M533" i="4" a="1"/>
  <c r="M534" i="4" a="1"/>
  <c r="M535" i="4" a="1"/>
  <c r="M536" i="4" a="1"/>
  <c r="M537" i="4" a="1"/>
  <c r="M538" i="4" a="1"/>
  <c r="M539" i="4" a="1"/>
  <c r="M540" i="4" a="1"/>
  <c r="M541" i="4" a="1"/>
  <c r="M542" i="4" a="1"/>
  <c r="M543" i="4" a="1"/>
  <c r="M544" i="4" a="1"/>
  <c r="M545" i="4" a="1"/>
  <c r="M546" i="4" a="1"/>
  <c r="M547" i="4" a="1"/>
  <c r="M548" i="4" a="1"/>
  <c r="M549" i="4" a="1"/>
  <c r="M550" i="4" a="1"/>
  <c r="M551" i="4" a="1"/>
  <c r="M552" i="4" a="1"/>
  <c r="M553" i="4" a="1"/>
  <c r="M554" i="4" a="1"/>
  <c r="M555" i="4" a="1"/>
  <c r="M556" i="4" a="1"/>
  <c r="M557" i="4" a="1"/>
  <c r="M558" i="4" a="1"/>
  <c r="M559" i="4" a="1"/>
  <c r="M560" i="4" a="1"/>
  <c r="M561" i="4" a="1"/>
  <c r="M562" i="4" a="1"/>
  <c r="M563" i="4" a="1"/>
  <c r="M564" i="4" a="1"/>
  <c r="M565" i="4" a="1"/>
  <c r="M566" i="4" a="1"/>
  <c r="M567" i="4" a="1"/>
  <c r="M568" i="4" a="1"/>
  <c r="M569" i="4" a="1"/>
  <c r="M570" i="4" a="1"/>
  <c r="M571" i="4" a="1"/>
  <c r="M572" i="4" a="1"/>
  <c r="M573" i="4" a="1"/>
  <c r="M574" i="4" a="1"/>
  <c r="M575" i="4" a="1"/>
  <c r="M576" i="4" a="1"/>
  <c r="M577" i="4" a="1"/>
  <c r="M578" i="4" a="1"/>
  <c r="M579" i="4" a="1"/>
  <c r="M580" i="4" a="1"/>
  <c r="M581" i="4" a="1"/>
  <c r="M582" i="4" a="1"/>
  <c r="M583" i="4" a="1"/>
  <c r="M584" i="4" a="1"/>
  <c r="M585" i="4" a="1"/>
  <c r="M586" i="4" a="1"/>
  <c r="M587" i="4" a="1"/>
  <c r="M588" i="4" a="1"/>
  <c r="M589" i="4" a="1"/>
  <c r="M590" i="4" a="1"/>
  <c r="M591" i="4" a="1"/>
  <c r="M592" i="4" a="1"/>
  <c r="M593" i="4" a="1"/>
  <c r="M594" i="4" a="1"/>
  <c r="M595" i="4" a="1"/>
  <c r="M596" i="4" a="1"/>
  <c r="M597" i="4" a="1"/>
  <c r="M598" i="4" a="1"/>
  <c r="M599" i="4" a="1"/>
  <c r="M600" i="4" a="1"/>
  <c r="M601" i="4" a="1"/>
  <c r="M602" i="4" a="1"/>
  <c r="M603" i="4" a="1"/>
  <c r="M604" i="4" a="1"/>
  <c r="M605" i="4" a="1"/>
  <c r="M606" i="4" a="1"/>
  <c r="M607" i="4" a="1"/>
  <c r="M608" i="4" a="1"/>
  <c r="M609" i="4" a="1"/>
  <c r="M610" i="4" a="1"/>
  <c r="M611" i="4" a="1"/>
  <c r="M612" i="4" a="1"/>
  <c r="M613" i="4" a="1"/>
  <c r="M614" i="4" a="1"/>
  <c r="M615" i="4" a="1"/>
  <c r="M616" i="4" a="1"/>
  <c r="M617" i="4" a="1"/>
  <c r="M618" i="4" a="1"/>
  <c r="M619" i="4" a="1"/>
  <c r="M620" i="4" a="1"/>
  <c r="M621" i="4" a="1"/>
  <c r="M622" i="4" a="1"/>
  <c r="M623" i="4" a="1"/>
  <c r="M624" i="4" a="1"/>
  <c r="M625" i="4" a="1"/>
  <c r="M626" i="4" a="1"/>
  <c r="M627" i="4" a="1"/>
  <c r="M628" i="4" a="1"/>
  <c r="M629" i="4" a="1"/>
  <c r="M630" i="4" a="1"/>
  <c r="M631" i="4" a="1"/>
  <c r="M632" i="4" a="1"/>
  <c r="M633" i="4" a="1"/>
  <c r="M634" i="4" a="1"/>
  <c r="M635" i="4" a="1"/>
  <c r="M636" i="4" a="1"/>
  <c r="M637" i="4" a="1"/>
  <c r="M638" i="4" a="1"/>
  <c r="M639" i="4" a="1"/>
  <c r="M640" i="4" a="1"/>
  <c r="M641" i="4" a="1"/>
  <c r="M642" i="4" a="1"/>
  <c r="M643" i="4" a="1"/>
  <c r="M644" i="4" a="1"/>
  <c r="M645" i="4" a="1"/>
  <c r="M646" i="4" a="1"/>
  <c r="M647" i="4" a="1"/>
  <c r="M648" i="4" a="1"/>
  <c r="M649" i="4" a="1"/>
  <c r="M650" i="4" a="1"/>
  <c r="M651" i="4" a="1"/>
  <c r="M652" i="4" a="1"/>
  <c r="M653" i="4" a="1"/>
  <c r="M654" i="4" a="1"/>
  <c r="M655" i="4" a="1"/>
  <c r="M656" i="4" a="1"/>
  <c r="M657" i="4" a="1"/>
  <c r="M658" i="4" a="1"/>
  <c r="M659" i="4" a="1"/>
  <c r="M660" i="4" a="1"/>
  <c r="M661" i="4" a="1"/>
  <c r="M662" i="4" a="1"/>
  <c r="M663" i="4" a="1"/>
  <c r="M664" i="4" a="1"/>
  <c r="M665" i="4" a="1"/>
  <c r="M666" i="4" a="1"/>
  <c r="M667" i="4" a="1"/>
  <c r="M668" i="4" a="1"/>
  <c r="M669" i="4" a="1"/>
  <c r="M670" i="4" a="1"/>
  <c r="M671" i="4" a="1"/>
  <c r="M672" i="4" a="1"/>
  <c r="M673" i="4" a="1"/>
  <c r="M674" i="4" a="1"/>
  <c r="M675" i="4" a="1"/>
  <c r="M676" i="4" a="1"/>
  <c r="M677" i="4" a="1"/>
  <c r="M678" i="4" a="1"/>
  <c r="M679" i="4" a="1"/>
  <c r="M680" i="4" a="1"/>
  <c r="M681" i="4" a="1"/>
  <c r="M682" i="4" a="1"/>
  <c r="M683" i="4" a="1"/>
  <c r="M684" i="4" a="1"/>
  <c r="M685" i="4" a="1"/>
  <c r="M686" i="4" a="1"/>
  <c r="M687" i="4" a="1"/>
  <c r="M688" i="4" a="1"/>
  <c r="M689" i="4" a="1"/>
  <c r="M690" i="4" a="1"/>
  <c r="M691" i="4" a="1"/>
  <c r="M692" i="4" a="1"/>
  <c r="M693" i="4" a="1"/>
  <c r="M694" i="4" a="1"/>
  <c r="M695" i="4" a="1"/>
  <c r="M696" i="4" a="1"/>
  <c r="M697" i="4" a="1"/>
  <c r="M698" i="4" a="1"/>
  <c r="M699" i="4" a="1"/>
  <c r="M700" i="4" a="1"/>
  <c r="M701" i="4" a="1"/>
  <c r="M702" i="4" a="1"/>
  <c r="M703" i="4" a="1"/>
  <c r="M704" i="4" a="1"/>
  <c r="M705" i="4" a="1"/>
  <c r="M706" i="4" a="1"/>
  <c r="M707" i="4" a="1"/>
  <c r="M708" i="4" a="1"/>
  <c r="M709" i="4" a="1"/>
  <c r="M710" i="4" a="1"/>
  <c r="M711" i="4" a="1"/>
  <c r="M712" i="4" a="1"/>
  <c r="M713" i="4" a="1"/>
  <c r="M714" i="4" a="1"/>
  <c r="M715" i="4" a="1"/>
  <c r="M716" i="4" a="1"/>
  <c r="M717" i="4" a="1"/>
  <c r="M718" i="4" a="1"/>
  <c r="M719" i="4" a="1"/>
  <c r="M720" i="4" a="1"/>
  <c r="M721" i="4" a="1"/>
  <c r="M722" i="4" a="1"/>
  <c r="M723" i="4" a="1"/>
  <c r="M724" i="4" a="1"/>
  <c r="M725" i="4" a="1"/>
  <c r="M726" i="4" a="1"/>
  <c r="M727" i="4" a="1"/>
  <c r="M728" i="4" a="1"/>
  <c r="M729" i="4" a="1"/>
  <c r="M730" i="4" a="1"/>
  <c r="M731" i="4" a="1"/>
  <c r="M732" i="4" a="1"/>
  <c r="M733" i="4" a="1"/>
  <c r="M734" i="4" a="1"/>
  <c r="M735" i="4" a="1"/>
  <c r="M736" i="4" a="1"/>
  <c r="M737" i="4" a="1"/>
  <c r="M738" i="4" a="1"/>
  <c r="M739" i="4" a="1"/>
  <c r="M740" i="4" a="1"/>
  <c r="M741" i="4" a="1"/>
  <c r="M742" i="4" a="1"/>
  <c r="M743" i="4" a="1"/>
  <c r="M744" i="4" a="1"/>
  <c r="M745" i="4" a="1"/>
  <c r="M746" i="4" a="1"/>
  <c r="M747" i="4" a="1"/>
  <c r="M748" i="4" a="1"/>
  <c r="M749" i="4" a="1"/>
  <c r="M750" i="4" a="1"/>
  <c r="M751" i="4" a="1"/>
  <c r="M752" i="4" a="1"/>
  <c r="M753" i="4" a="1"/>
  <c r="M754" i="4" a="1"/>
  <c r="M755" i="4" a="1"/>
  <c r="M756" i="4" a="1"/>
  <c r="M757" i="4" a="1"/>
  <c r="M758" i="4" a="1"/>
  <c r="M759" i="4" a="1"/>
  <c r="M760" i="4" a="1"/>
  <c r="M761" i="4" a="1"/>
  <c r="M762" i="4" a="1"/>
  <c r="M763" i="4" a="1"/>
  <c r="M764" i="4" a="1"/>
  <c r="M765" i="4" a="1"/>
  <c r="M766" i="4" a="1"/>
  <c r="M767" i="4" a="1"/>
  <c r="M768" i="4" a="1"/>
  <c r="M769" i="4" a="1"/>
  <c r="M770" i="4" a="1"/>
  <c r="M771" i="4" a="1"/>
  <c r="M772" i="4" a="1"/>
  <c r="M773" i="4" a="1"/>
  <c r="M774" i="4" a="1"/>
  <c r="M775" i="4" a="1"/>
  <c r="M776" i="4" a="1"/>
  <c r="M777" i="4" a="1"/>
  <c r="M778" i="4" a="1"/>
  <c r="M779" i="4" a="1"/>
  <c r="M780" i="4" a="1"/>
  <c r="M781" i="4" a="1"/>
  <c r="M782" i="4" a="1"/>
  <c r="M783" i="4" a="1"/>
  <c r="M784" i="4" a="1"/>
  <c r="M785" i="4" a="1"/>
  <c r="M786" i="4" a="1"/>
  <c r="M787" i="4" a="1"/>
  <c r="M788" i="4" a="1"/>
  <c r="M789" i="4" a="1"/>
  <c r="M790" i="4" a="1"/>
  <c r="M791" i="4" a="1"/>
  <c r="M792" i="4" a="1"/>
  <c r="M793" i="4" a="1"/>
  <c r="M794" i="4" a="1"/>
  <c r="M795" i="4" a="1"/>
  <c r="M796" i="4" a="1"/>
  <c r="M797" i="4" a="1"/>
  <c r="M798" i="4" a="1"/>
  <c r="M799" i="4" a="1"/>
  <c r="M800" i="4" a="1"/>
  <c r="M801" i="4" a="1"/>
  <c r="M802" i="4" a="1"/>
  <c r="M803" i="4" a="1"/>
  <c r="M804" i="4" a="1"/>
  <c r="M805" i="4" a="1"/>
  <c r="M806" i="4" a="1"/>
  <c r="M807" i="4" a="1"/>
  <c r="M808" i="4" a="1"/>
  <c r="M809" i="4" a="1"/>
  <c r="M810" i="4" a="1"/>
  <c r="M811" i="4" a="1"/>
  <c r="M812" i="4" a="1"/>
  <c r="M813" i="4" a="1"/>
  <c r="M814" i="4" a="1"/>
  <c r="M815" i="4" a="1"/>
  <c r="M816" i="4" a="1"/>
  <c r="M817" i="4" a="1"/>
  <c r="M818" i="4" a="1"/>
  <c r="M819" i="4" a="1"/>
  <c r="M820" i="4" a="1"/>
  <c r="M821" i="4" a="1"/>
  <c r="M822" i="4" a="1"/>
  <c r="M823" i="4" a="1"/>
  <c r="M824" i="4" a="1"/>
  <c r="M825" i="4" a="1"/>
  <c r="M826" i="4" a="1"/>
  <c r="M827" i="4" a="1"/>
  <c r="M828" i="4" a="1"/>
  <c r="M829" i="4" a="1"/>
  <c r="M830" i="4" a="1"/>
  <c r="M831" i="4" a="1"/>
  <c r="M832" i="4" a="1"/>
  <c r="M833" i="4" a="1"/>
  <c r="M834" i="4" a="1"/>
  <c r="M835" i="4" a="1"/>
  <c r="M836" i="4" a="1"/>
  <c r="M837" i="4" a="1"/>
  <c r="M838" i="4" a="1"/>
  <c r="M839" i="4" a="1"/>
  <c r="M840" i="4" a="1"/>
  <c r="M841" i="4" a="1"/>
  <c r="M842" i="4" a="1"/>
  <c r="M843" i="4" a="1"/>
  <c r="M844" i="4" a="1"/>
  <c r="M845" i="4" a="1"/>
  <c r="M846" i="4" a="1"/>
  <c r="M847" i="4" a="1"/>
  <c r="M848" i="4" a="1"/>
  <c r="M849" i="4" a="1"/>
  <c r="M850" i="4" a="1"/>
  <c r="M851" i="4" a="1"/>
  <c r="M852" i="4" a="1"/>
  <c r="M853" i="4" a="1"/>
  <c r="M854" i="4" a="1"/>
  <c r="M855" i="4" a="1"/>
  <c r="M856" i="4" a="1"/>
  <c r="M857" i="4" a="1"/>
  <c r="M858" i="4" a="1"/>
  <c r="M859" i="4" a="1"/>
  <c r="M860" i="4" a="1"/>
  <c r="M861" i="4" a="1"/>
  <c r="M862" i="4" a="1"/>
  <c r="M863" i="4" a="1"/>
  <c r="M864" i="4" a="1"/>
  <c r="M865" i="4" a="1"/>
  <c r="M866" i="4" a="1"/>
  <c r="M867" i="4" a="1"/>
  <c r="M868" i="4" a="1"/>
  <c r="M869" i="4" a="1"/>
  <c r="M870" i="4" a="1"/>
  <c r="M871" i="4" a="1"/>
  <c r="M872" i="4" a="1"/>
  <c r="M873" i="4" a="1"/>
  <c r="M874" i="4" a="1"/>
  <c r="M875" i="4" a="1"/>
  <c r="M876" i="4" a="1"/>
  <c r="M877" i="4" a="1"/>
  <c r="M878" i="4" a="1"/>
  <c r="M879" i="4" a="1"/>
  <c r="M880" i="4" a="1"/>
  <c r="M881" i="4" a="1"/>
  <c r="M882" i="4" a="1"/>
  <c r="M883" i="4" a="1"/>
  <c r="M884" i="4" a="1"/>
  <c r="M885" i="4" a="1"/>
  <c r="M886" i="4" a="1"/>
  <c r="M887" i="4" a="1"/>
  <c r="M888" i="4" a="1"/>
  <c r="M889" i="4" a="1"/>
  <c r="M890" i="4" a="1"/>
  <c r="M891" i="4" a="1"/>
  <c r="M892" i="4" a="1"/>
  <c r="M893" i="4" a="1"/>
  <c r="M894" i="4" a="1"/>
  <c r="M895" i="4" a="1"/>
  <c r="M896" i="4" a="1"/>
  <c r="M897" i="4" a="1"/>
  <c r="M898" i="4" a="1"/>
  <c r="M899" i="4" a="1"/>
  <c r="M900" i="4" a="1"/>
  <c r="M901" i="4" a="1"/>
  <c r="M902" i="4" a="1"/>
  <c r="M903" i="4" a="1"/>
  <c r="M904" i="4" a="1"/>
  <c r="M905" i="4" a="1"/>
  <c r="M906" i="4" a="1"/>
  <c r="M907" i="4" a="1"/>
  <c r="M908" i="4" a="1"/>
  <c r="M909" i="4" a="1"/>
  <c r="M910" i="4" a="1"/>
  <c r="M911" i="4" a="1"/>
  <c r="M912" i="4" a="1"/>
  <c r="M913" i="4" a="1"/>
  <c r="M914" i="4" a="1"/>
  <c r="M915" i="4" a="1"/>
  <c r="M916" i="4" a="1"/>
  <c r="M917" i="4" a="1"/>
  <c r="M918" i="4" a="1"/>
  <c r="M919" i="4" a="1"/>
  <c r="M920" i="4" a="1"/>
  <c r="M921" i="4" a="1"/>
  <c r="M922" i="4" a="1"/>
  <c r="M923" i="4" a="1"/>
  <c r="M924" i="4" a="1"/>
  <c r="M925" i="4" a="1"/>
  <c r="M926" i="4" a="1"/>
  <c r="M927" i="4" a="1"/>
  <c r="M928" i="4" a="1"/>
  <c r="M929" i="4" a="1"/>
  <c r="M930" i="4" a="1"/>
  <c r="M931" i="4" a="1"/>
  <c r="M932" i="4" a="1"/>
  <c r="M933" i="4" a="1"/>
  <c r="M934" i="4" a="1"/>
  <c r="M935" i="4" a="1"/>
  <c r="M936" i="4" a="1"/>
  <c r="M937" i="4" a="1"/>
  <c r="M938" i="4" a="1"/>
  <c r="M939" i="4" a="1"/>
  <c r="M940" i="4" a="1"/>
  <c r="M941" i="4" a="1"/>
  <c r="M942" i="4" a="1"/>
  <c r="M943" i="4" a="1"/>
  <c r="M944" i="4" a="1"/>
  <c r="M945" i="4" a="1"/>
  <c r="M946" i="4" a="1"/>
  <c r="M947" i="4" a="1"/>
  <c r="M948" i="4" a="1"/>
  <c r="M949" i="4" a="1"/>
  <c r="M950" i="4" a="1"/>
  <c r="M951" i="4" a="1"/>
  <c r="M952" i="4" a="1"/>
  <c r="M953" i="4" a="1"/>
  <c r="M954" i="4" a="1"/>
  <c r="M955" i="4" a="1"/>
  <c r="M956" i="4" a="1"/>
  <c r="M957" i="4" a="1"/>
  <c r="M958" i="4" a="1"/>
  <c r="M959" i="4" a="1"/>
  <c r="M960" i="4" a="1"/>
  <c r="M961" i="4" a="1"/>
  <c r="M962" i="4" a="1"/>
  <c r="M963" i="4" a="1"/>
  <c r="M964" i="4" a="1"/>
  <c r="M965" i="4" a="1"/>
  <c r="M966" i="4" a="1"/>
  <c r="M967" i="4" a="1"/>
  <c r="M968" i="4" a="1"/>
  <c r="M969" i="4" a="1"/>
  <c r="M970" i="4" a="1"/>
  <c r="M971" i="4" a="1"/>
  <c r="M972" i="4" a="1"/>
  <c r="M973" i="4" a="1"/>
  <c r="M974" i="4" a="1"/>
  <c r="M975" i="4" a="1"/>
  <c r="M976" i="4" a="1"/>
  <c r="M977" i="4" a="1"/>
  <c r="M978" i="4" a="1"/>
  <c r="M979" i="4" a="1"/>
  <c r="M980" i="4" a="1"/>
  <c r="M981" i="4" a="1"/>
  <c r="M982" i="4" a="1"/>
  <c r="M983" i="4" a="1"/>
  <c r="M984" i="4" a="1"/>
  <c r="M985" i="4" a="1"/>
  <c r="M986" i="4" a="1"/>
  <c r="M987" i="4" a="1"/>
  <c r="M988" i="4" a="1"/>
  <c r="M989" i="4" a="1"/>
  <c r="M990" i="4" a="1"/>
  <c r="M991" i="4" a="1"/>
  <c r="M992" i="4" a="1"/>
  <c r="M993" i="4" a="1"/>
  <c r="M994" i="4" a="1"/>
  <c r="M995" i="4" a="1"/>
  <c r="M996" i="4" a="1"/>
  <c r="M997" i="4" a="1"/>
  <c r="M998" i="4" a="1"/>
  <c r="M999" i="4" a="1"/>
  <c r="M1000" i="4" a="1"/>
  <c r="M1001" i="4" a="1"/>
  <c r="M2"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<sst xmlns="http://schemas.openxmlformats.org/spreadsheetml/2006/main" count="16267" uniqueCount="51">
  <si>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</si>
  <si>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</si>
  <si>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</si>
  <si>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</si>
  <si>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</si>
  <si>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</si>
  <si>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</si>
  <si>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</si>
  <si>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</si>
  <si>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</si>
  <si>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</si>
  <si>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</si>
  <si>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</si>
  <si>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</si>
  <si>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</si>
  <si>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</si>
  <si>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</si>
  <si>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</si>
  <si>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</si>
  <si>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</si>
  <si>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</si>
  <si>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</si>
  <si>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</si>
  <si>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</si>
  <si>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</si>
  <si>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</si>
  <si>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</si>
  <si>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</si>
  <si>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</si>
  <si>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</si>
  <si>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</si>
  <si>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</si>
  <si>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</si>
  <si>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</si>
  <si>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</si>
  <si>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</si>
  <si>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</si>
  <si>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</si>
  <si>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</si>
  <si>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</si>
  <si>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</si>
  <si>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</si>
  <si>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</si>
  <si>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</si>
  <si>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</si>
  <si>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</si>
  <si>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</si>
  <si>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Middle-Aged (40-59)</t>
  </si>
  <si>
    <t>Senior (60+)</t>
  </si>
  <si>
    <t>Young Adult (20-39)</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</si>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</sst>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16" fillId="0" borderId="0" xfId="0" applyFont="1"/>
    <xf numFmtId="168" fontId="16"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Income By</a:t>
            </a:r>
            <a:r>
              <a:rPr lang="en-US" b="1" baseline="0"/>
              <a:t> Gender and</a:t>
            </a:r>
            <a:r>
              <a:rPr lang="en-US" b="1"/>
              <a:t> Bicyle Purchase</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53440</c:v>
                </c:pt>
                <c:pt idx="1">
                  <c:v>56208.178438661707</c:v>
                </c:pt>
              </c:numCache>
            </c:numRef>
          </c:val>
          <c:extLst>
            <c:ext xmlns:c16="http://schemas.microsoft.com/office/drawing/2014/chart" uri="{C3380CC4-5D6E-409C-BE32-E72D297353CC}">
              <c16:uniqueId val="{00000000-DD19-47C1-AF49-6D49F5226DF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DD19-47C1-AF49-6D49F5226DFB}"/>
            </c:ext>
          </c:extLst>
        </c:ser>
        <c:dLbls>
          <c:showLegendKey val="0"/>
          <c:showVal val="0"/>
          <c:showCatName val="0"/>
          <c:showSerName val="0"/>
          <c:showPercent val="0"/>
          <c:showBubbleSize val="0"/>
        </c:dLbls>
        <c:gapWidth val="219"/>
        <c:overlap val="-27"/>
        <c:axId val="1925153392"/>
        <c:axId val="1001767040"/>
      </c:barChart>
      <c:catAx>
        <c:axId val="19251533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67040"/>
        <c:crosses val="autoZero"/>
        <c:auto val="1"/>
        <c:lblAlgn val="ctr"/>
        <c:lblOffset val="100"/>
        <c:noMultiLvlLbl val="0"/>
      </c:catAx>
      <c:valAx>
        <c:axId val="100176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5153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 Purchase by Commute Distance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08-43A2-B2AF-9718B1CD9D88}"/>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Table'!$A$36:$A$41</c:f>
              <c:strCache>
                <c:ptCount val="5"/>
                <c:pt idx="0">
                  <c:v>0-1 Miles</c:v>
                </c:pt>
                <c:pt idx="1">
                  <c:v>1-2 Miles</c:v>
                </c:pt>
                <c:pt idx="2">
                  <c:v>2-5 Miles</c:v>
                </c:pt>
                <c:pt idx="3">
                  <c:v>5-10 Miles</c:v>
                </c:pt>
                <c:pt idx="4">
                  <c:v>More than 10 Miles</c:v>
                </c:pt>
              </c:strCache>
            </c:strRef>
          </c:cat>
          <c:val>
            <c:numRef>
              <c:f>'Pivot Table'!$C$36:$C$41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08-43A2-B2AF-9718B1CD9D88}"/>
            </c:ext>
          </c:extLst>
        </c:ser>
        <c:dLbls>
          <c:showLegendKey val="0"/>
          <c:showVal val="0"/>
          <c:showCatName val="0"/>
          <c:showSerName val="0"/>
          <c:showPercent val="0"/>
          <c:showBubbleSize val="0"/>
        </c:dLbls>
        <c:smooth val="0"/>
        <c:axId val="1870642208"/>
        <c:axId val="1172580128"/>
      </c:lineChart>
      <c:catAx>
        <c:axId val="18706422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Commute Distance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2580128"/>
        <c:crosses val="autoZero"/>
        <c:auto val="1"/>
        <c:lblAlgn val="ctr"/>
        <c:lblOffset val="100"/>
        <c:noMultiLvlLbl val="0"/>
      </c:catAx>
      <c:valAx>
        <c:axId val="11725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06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 Purchase Rates Across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Table'!$A$60:$A$63</c:f>
              <c:strCache>
                <c:ptCount val="3"/>
                <c:pt idx="0">
                  <c:v>Young Adult (20-39)</c:v>
                </c:pt>
                <c:pt idx="1">
                  <c:v>Middle-Aged (40-59)</c:v>
                </c:pt>
                <c:pt idx="2">
                  <c:v>Senior (60+)</c:v>
                </c:pt>
              </c:strCache>
            </c:strRef>
          </c:cat>
          <c:val>
            <c:numRef>
              <c:f>'Pivot Table'!$B$60:$B$63</c:f>
              <c:numCache>
                <c:formatCode>General</c:formatCode>
                <c:ptCount val="3"/>
                <c:pt idx="0">
                  <c:v>170</c:v>
                </c:pt>
                <c:pt idx="1">
                  <c:v>271</c:v>
                </c:pt>
                <c:pt idx="2">
                  <c:v>78</c:v>
                </c:pt>
              </c:numCache>
            </c:numRef>
          </c:val>
          <c:extLst>
            <c:ext xmlns:c16="http://schemas.microsoft.com/office/drawing/2014/chart" uri="{C3380CC4-5D6E-409C-BE32-E72D297353CC}">
              <c16:uniqueId val="{00000000-9D6E-465B-AD37-BC84664E4D1E}"/>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Table'!$A$60:$A$63</c:f>
              <c:strCache>
                <c:ptCount val="3"/>
                <c:pt idx="0">
                  <c:v>Young Adult (20-39)</c:v>
                </c:pt>
                <c:pt idx="1">
                  <c:v>Middle-Aged (40-59)</c:v>
                </c:pt>
                <c:pt idx="2">
                  <c:v>Senior (60+)</c:v>
                </c:pt>
              </c:strCache>
            </c:strRef>
          </c:cat>
          <c:val>
            <c:numRef>
              <c:f>'Pivot Table'!$C$60:$C$63</c:f>
              <c:numCache>
                <c:formatCode>General</c:formatCode>
                <c:ptCount val="3"/>
                <c:pt idx="0">
                  <c:v>214</c:v>
                </c:pt>
                <c:pt idx="1">
                  <c:v>230</c:v>
                </c:pt>
                <c:pt idx="2">
                  <c:v>37</c:v>
                </c:pt>
              </c:numCache>
            </c:numRef>
          </c:val>
          <c:extLst>
            <c:ext xmlns:c16="http://schemas.microsoft.com/office/drawing/2014/chart" uri="{C3380CC4-5D6E-409C-BE32-E72D297353CC}">
              <c16:uniqueId val="{00000001-9D6E-465B-AD37-BC84664E4D1E}"/>
            </c:ext>
          </c:extLst>
        </c:ser>
        <c:dLbls>
          <c:showLegendKey val="0"/>
          <c:showVal val="0"/>
          <c:showCatName val="0"/>
          <c:showSerName val="0"/>
          <c:showPercent val="0"/>
          <c:showBubbleSize val="0"/>
        </c:dLbls>
        <c:gapWidth val="219"/>
        <c:overlap val="-27"/>
        <c:axId val="956331520"/>
        <c:axId val="1172611328"/>
      </c:barChart>
      <c:catAx>
        <c:axId val="956331520"/>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11328"/>
        <c:crosses val="autoZero"/>
        <c:auto val="1"/>
        <c:lblAlgn val="ctr"/>
        <c:lblOffset val="100"/>
        <c:noMultiLvlLbl val="0"/>
      </c:catAx>
      <c:valAx>
        <c:axId val="117261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63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Income By</a:t>
            </a:r>
            <a:r>
              <a:rPr lang="en-US" b="1" baseline="0"/>
              <a:t> Gender and</a:t>
            </a:r>
            <a:r>
              <a:rPr lang="en-US" b="1"/>
              <a:t> Bicyle Purchase</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53440</c:v>
                </c:pt>
                <c:pt idx="1">
                  <c:v>56208.178438661707</c:v>
                </c:pt>
              </c:numCache>
            </c:numRef>
          </c:val>
          <c:extLst>
            <c:ext xmlns:c16="http://schemas.microsoft.com/office/drawing/2014/chart" uri="{C3380CC4-5D6E-409C-BE32-E72D297353CC}">
              <c16:uniqueId val="{00000000-881D-4427-836B-451E342CB0A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881D-4427-836B-451E342CB0AE}"/>
            </c:ext>
          </c:extLst>
        </c:ser>
        <c:dLbls>
          <c:showLegendKey val="0"/>
          <c:showVal val="0"/>
          <c:showCatName val="0"/>
          <c:showSerName val="0"/>
          <c:showPercent val="0"/>
          <c:showBubbleSize val="0"/>
        </c:dLbls>
        <c:gapWidth val="219"/>
        <c:overlap val="-27"/>
        <c:axId val="1925153392"/>
        <c:axId val="1001767040"/>
      </c:barChart>
      <c:catAx>
        <c:axId val="19251533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67040"/>
        <c:crosses val="autoZero"/>
        <c:auto val="1"/>
        <c:lblAlgn val="ctr"/>
        <c:lblOffset val="100"/>
        <c:noMultiLvlLbl val="0"/>
      </c:catAx>
      <c:valAx>
        <c:axId val="100176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5153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Bike Purchase by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23662732401695E-2"/>
          <c:y val="0.1570501657042318"/>
          <c:w val="0.89201850049210396"/>
          <c:h val="0.61322038737568441"/>
        </c:manualLayout>
      </c:layout>
      <c:lineChart>
        <c:grouping val="standard"/>
        <c:varyColors val="0"/>
        <c:ser>
          <c:idx val="0"/>
          <c:order val="0"/>
          <c:tx>
            <c:strRef>
              <c:f>'Pivot Table'!$B$34:$B$35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Table'!$A$36:$A$41</c:f>
              <c:strCache>
                <c:ptCount val="5"/>
                <c:pt idx="0">
                  <c:v>0-1 Miles</c:v>
                </c:pt>
                <c:pt idx="1">
                  <c:v>1-2 Miles</c:v>
                </c:pt>
                <c:pt idx="2">
                  <c:v>2-5 Miles</c:v>
                </c:pt>
                <c:pt idx="3">
                  <c:v>5-10 Miles</c:v>
                </c:pt>
                <c:pt idx="4">
                  <c:v>More than 10 Miles</c:v>
                </c:pt>
              </c:strCache>
            </c:strRef>
          </c:cat>
          <c:val>
            <c:numRef>
              <c:f>'Pivot Table'!$B$36:$B$41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43E-40F9-97D0-AA2B5276BB62}"/>
            </c:ext>
          </c:extLst>
        </c:ser>
        <c:ser>
          <c:idx val="1"/>
          <c:order val="1"/>
          <c:tx>
            <c:strRef>
              <c:f>'Pivot Table'!$C$34:$C$35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Table'!$A$36:$A$41</c:f>
              <c:strCache>
                <c:ptCount val="5"/>
                <c:pt idx="0">
                  <c:v>0-1 Miles</c:v>
                </c:pt>
                <c:pt idx="1">
                  <c:v>1-2 Miles</c:v>
                </c:pt>
                <c:pt idx="2">
                  <c:v>2-5 Miles</c:v>
                </c:pt>
                <c:pt idx="3">
                  <c:v>5-10 Miles</c:v>
                </c:pt>
                <c:pt idx="4">
                  <c:v>More than 10 Miles</c:v>
                </c:pt>
              </c:strCache>
            </c:strRef>
          </c:cat>
          <c:val>
            <c:numRef>
              <c:f>'Pivot Table'!$C$36:$C$41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43E-40F9-97D0-AA2B5276BB62}"/>
            </c:ext>
          </c:extLst>
        </c:ser>
        <c:dLbls>
          <c:showLegendKey val="0"/>
          <c:showVal val="0"/>
          <c:showCatName val="0"/>
          <c:showSerName val="0"/>
          <c:showPercent val="0"/>
          <c:showBubbleSize val="0"/>
        </c:dLbls>
        <c:marker val="1"/>
        <c:smooth val="0"/>
        <c:axId val="1870642208"/>
        <c:axId val="1172580128"/>
      </c:lineChart>
      <c:catAx>
        <c:axId val="18706422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2580128"/>
        <c:crosses val="autoZero"/>
        <c:auto val="1"/>
        <c:lblAlgn val="ctr"/>
        <c:lblOffset val="100"/>
        <c:noMultiLvlLbl val="0"/>
      </c:catAx>
      <c:valAx>
        <c:axId val="11725801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06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 Purchase Rates Across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Table'!$A$60:$A$63</c:f>
              <c:strCache>
                <c:ptCount val="3"/>
                <c:pt idx="0">
                  <c:v>Young Adult (20-39)</c:v>
                </c:pt>
                <c:pt idx="1">
                  <c:v>Middle-Aged (40-59)</c:v>
                </c:pt>
                <c:pt idx="2">
                  <c:v>Senior (60+)</c:v>
                </c:pt>
              </c:strCache>
            </c:strRef>
          </c:cat>
          <c:val>
            <c:numRef>
              <c:f>'Pivot Table'!$B$60:$B$63</c:f>
              <c:numCache>
                <c:formatCode>General</c:formatCode>
                <c:ptCount val="3"/>
                <c:pt idx="0">
                  <c:v>170</c:v>
                </c:pt>
                <c:pt idx="1">
                  <c:v>271</c:v>
                </c:pt>
                <c:pt idx="2">
                  <c:v>78</c:v>
                </c:pt>
              </c:numCache>
            </c:numRef>
          </c:val>
          <c:extLst>
            <c:ext xmlns:c16="http://schemas.microsoft.com/office/drawing/2014/chart" uri="{C3380CC4-5D6E-409C-BE32-E72D297353CC}">
              <c16:uniqueId val="{00000000-5702-4158-B1CE-6D8947D50A14}"/>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Table'!$A$60:$A$63</c:f>
              <c:strCache>
                <c:ptCount val="3"/>
                <c:pt idx="0">
                  <c:v>Young Adult (20-39)</c:v>
                </c:pt>
                <c:pt idx="1">
                  <c:v>Middle-Aged (40-59)</c:v>
                </c:pt>
                <c:pt idx="2">
                  <c:v>Senior (60+)</c:v>
                </c:pt>
              </c:strCache>
            </c:strRef>
          </c:cat>
          <c:val>
            <c:numRef>
              <c:f>'Pivot Table'!$C$60:$C$63</c:f>
              <c:numCache>
                <c:formatCode>General</c:formatCode>
                <c:ptCount val="3"/>
                <c:pt idx="0">
                  <c:v>214</c:v>
                </c:pt>
                <c:pt idx="1">
                  <c:v>230</c:v>
                </c:pt>
                <c:pt idx="2">
                  <c:v>37</c:v>
                </c:pt>
              </c:numCache>
            </c:numRef>
          </c:val>
          <c:extLst>
            <c:ext xmlns:c16="http://schemas.microsoft.com/office/drawing/2014/chart" uri="{C3380CC4-5D6E-409C-BE32-E72D297353CC}">
              <c16:uniqueId val="{00000001-5702-4158-B1CE-6D8947D50A14}"/>
            </c:ext>
          </c:extLst>
        </c:ser>
        <c:dLbls>
          <c:showLegendKey val="0"/>
          <c:showVal val="0"/>
          <c:showCatName val="0"/>
          <c:showSerName val="0"/>
          <c:showPercent val="0"/>
          <c:showBubbleSize val="0"/>
        </c:dLbls>
        <c:gapWidth val="219"/>
        <c:overlap val="-27"/>
        <c:axId val="956331520"/>
        <c:axId val="1172611328"/>
      </c:barChart>
      <c:catAx>
        <c:axId val="956331520"/>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Age Brackets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11328"/>
        <c:crosses val="autoZero"/>
        <c:auto val="1"/>
        <c:lblAlgn val="ctr"/>
        <c:lblOffset val="100"/>
        <c:noMultiLvlLbl val="0"/>
      </c:catAx>
      <c:valAx>
        <c:axId val="117261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63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13</xdr:col>
      <xdr:colOff>506730</xdr:colOff>
      <xdr:row>19</xdr:row>
      <xdr:rowOff>0</xdr:rowOff>
    </xdr:to>
    <xdr:graphicFrame macro="">
      <xdr:nvGraphicFramePr>
        <xdr:cNvPr id="4" name="Chart 3">
          <a:extLst>
            <a:ext uri="{FF2B5EF4-FFF2-40B4-BE49-F238E27FC236}">
              <a16:creationId xmlns:a16="http://schemas.microsoft.com/office/drawing/2014/main" id="{D660646D-A24B-E175-A065-A389C176E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xdr:colOff>
      <xdr:row>32</xdr:row>
      <xdr:rowOff>171451</xdr:rowOff>
    </xdr:from>
    <xdr:to>
      <xdr:col>14</xdr:col>
      <xdr:colOff>1</xdr:colOff>
      <xdr:row>48</xdr:row>
      <xdr:rowOff>9525</xdr:rowOff>
    </xdr:to>
    <xdr:graphicFrame macro="">
      <xdr:nvGraphicFramePr>
        <xdr:cNvPr id="6" name="Chart 5">
          <a:extLst>
            <a:ext uri="{FF2B5EF4-FFF2-40B4-BE49-F238E27FC236}">
              <a16:creationId xmlns:a16="http://schemas.microsoft.com/office/drawing/2014/main" id="{78F72564-65B5-15B3-4AD1-7A7142118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57</xdr:row>
      <xdr:rowOff>2</xdr:rowOff>
    </xdr:from>
    <xdr:to>
      <xdr:col>13</xdr:col>
      <xdr:colOff>510540</xdr:colOff>
      <xdr:row>72</xdr:row>
      <xdr:rowOff>1</xdr:rowOff>
    </xdr:to>
    <xdr:graphicFrame macro="">
      <xdr:nvGraphicFramePr>
        <xdr:cNvPr id="9" name="Chart 8">
          <a:extLst>
            <a:ext uri="{FF2B5EF4-FFF2-40B4-BE49-F238E27FC236}">
              <a16:creationId xmlns:a16="http://schemas.microsoft.com/office/drawing/2014/main" id="{25E684D4-A232-5AF6-9B86-4EB5B2671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3265</xdr:colOff>
      <xdr:row>5</xdr:row>
      <xdr:rowOff>9797</xdr:rowOff>
    </xdr:from>
    <xdr:to>
      <xdr:col>11</xdr:col>
      <xdr:colOff>311875</xdr:colOff>
      <xdr:row>24</xdr:row>
      <xdr:rowOff>9798</xdr:rowOff>
    </xdr:to>
    <xdr:graphicFrame macro="">
      <xdr:nvGraphicFramePr>
        <xdr:cNvPr id="2" name="Chart 1">
          <a:extLst>
            <a:ext uri="{FF2B5EF4-FFF2-40B4-BE49-F238E27FC236}">
              <a16:creationId xmlns:a16="http://schemas.microsoft.com/office/drawing/2014/main" id="{44B568CB-98E2-480C-A23A-0D548F05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25</xdr:row>
      <xdr:rowOff>1922</xdr:rowOff>
    </xdr:from>
    <xdr:to>
      <xdr:col>20</xdr:col>
      <xdr:colOff>24848</xdr:colOff>
      <xdr:row>39</xdr:row>
      <xdr:rowOff>167656</xdr:rowOff>
    </xdr:to>
    <xdr:graphicFrame macro="">
      <xdr:nvGraphicFramePr>
        <xdr:cNvPr id="3" name="Chart 2">
          <a:extLst>
            <a:ext uri="{FF2B5EF4-FFF2-40B4-BE49-F238E27FC236}">
              <a16:creationId xmlns:a16="http://schemas.microsoft.com/office/drawing/2014/main" id="{B9583848-7B8B-42C5-A0DB-6A76DA47F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315686</xdr:colOff>
      <xdr:row>5</xdr:row>
      <xdr:rowOff>10885</xdr:rowOff>
    </xdr:from>
    <xdr:to>
      <xdr:col>20</xdr:col>
      <xdr:colOff>8709</xdr:colOff>
      <xdr:row>24</xdr:row>
      <xdr:rowOff>21772</xdr:rowOff>
    </xdr:to>
    <xdr:graphicFrame macro="">
      <xdr:nvGraphicFramePr>
        <xdr:cNvPr id="4" name="Chart 3">
          <a:extLst>
            <a:ext uri="{FF2B5EF4-FFF2-40B4-BE49-F238E27FC236}">
              <a16:creationId xmlns:a16="http://schemas.microsoft.com/office/drawing/2014/main" id="{2D2BAC61-995E-4149-924F-8FA94379B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599</xdr:rowOff>
    </xdr:from>
    <xdr:to>
      <xdr:col>3</xdr:col>
      <xdr:colOff>5443</xdr:colOff>
      <xdr:row>10</xdr:row>
      <xdr:rowOff>98403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7F47D63-5EB9-C1BF-2A93-D2F6A79EE68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1686"/>
              <a:ext cx="1846087" cy="100508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84240</xdr:rowOff>
    </xdr:from>
    <xdr:to>
      <xdr:col>3</xdr:col>
      <xdr:colOff>6917</xdr:colOff>
      <xdr:row>26</xdr:row>
      <xdr:rowOff>130342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34E15D9-B67A-1705-D49A-B7A74CFB7D1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83841"/>
              <a:ext cx="1847561" cy="168796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94553</xdr:rowOff>
    </xdr:from>
    <xdr:to>
      <xdr:col>3</xdr:col>
      <xdr:colOff>6918</xdr:colOff>
      <xdr:row>17</xdr:row>
      <xdr:rowOff>76201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D78E4EA-458A-A922-81EF-F45DBC2AAF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0537"/>
              <a:ext cx="1847562" cy="12533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den Reyes" refreshedDate="46275.134144212963" createdVersion="8" refreshedVersion="8" minRefreshableVersion="3" recordCount="1000" xr:uid="{D2E62BB7-A7AE-4891-9D08-478664693CF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Aged (40-59)"/>
        <s v="Senior (60+)"/>
        <s v="Young Adult (20-39)"/>
        <s v="Middle-Aged" u="1"/>
        <s v="Senior" u="1"/>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511283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2"/>
    <x v="1"/>
  </r>
  <r>
    <n v="13507"/>
    <x v="0"/>
    <x v="0"/>
    <n v="10000"/>
    <n v="2"/>
    <x v="1"/>
    <s v="Manual"/>
    <s v="Yes"/>
    <n v="0"/>
    <x v="3"/>
    <x v="0"/>
    <x v="5"/>
    <x v="0"/>
    <x v="0"/>
  </r>
  <r>
    <n v="27974"/>
    <x v="1"/>
    <x v="1"/>
    <n v="160000"/>
    <n v="2"/>
    <x v="2"/>
    <s v="Management"/>
    <s v="Yes"/>
    <n v="4"/>
    <x v="0"/>
    <x v="1"/>
    <x v="6"/>
    <x v="2"/>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2"/>
    <x v="0"/>
  </r>
  <r>
    <n v="11434"/>
    <x v="0"/>
    <x v="1"/>
    <n v="170000"/>
    <n v="5"/>
    <x v="1"/>
    <s v="Professional"/>
    <s v="Yes"/>
    <n v="0"/>
    <x v="0"/>
    <x v="0"/>
    <x v="10"/>
    <x v="0"/>
    <x v="0"/>
  </r>
  <r>
    <n v="25323"/>
    <x v="0"/>
    <x v="1"/>
    <n v="40000"/>
    <n v="2"/>
    <x v="1"/>
    <s v="Clerical"/>
    <s v="Yes"/>
    <n v="1"/>
    <x v="3"/>
    <x v="0"/>
    <x v="11"/>
    <x v="2"/>
    <x v="1"/>
  </r>
  <r>
    <n v="23542"/>
    <x v="1"/>
    <x v="1"/>
    <n v="60000"/>
    <n v="1"/>
    <x v="1"/>
    <s v="Skilled Manual"/>
    <s v="No"/>
    <n v="1"/>
    <x v="0"/>
    <x v="1"/>
    <x v="12"/>
    <x v="0"/>
    <x v="1"/>
  </r>
  <r>
    <n v="20870"/>
    <x v="1"/>
    <x v="0"/>
    <n v="10000"/>
    <n v="2"/>
    <x v="2"/>
    <s v="Manual"/>
    <s v="Yes"/>
    <n v="1"/>
    <x v="0"/>
    <x v="0"/>
    <x v="13"/>
    <x v="2"/>
    <x v="1"/>
  </r>
  <r>
    <n v="23316"/>
    <x v="1"/>
    <x v="1"/>
    <n v="30000"/>
    <n v="3"/>
    <x v="1"/>
    <s v="Clerical"/>
    <s v="No"/>
    <n v="2"/>
    <x v="3"/>
    <x v="1"/>
    <x v="14"/>
    <x v="0"/>
    <x v="1"/>
  </r>
  <r>
    <n v="12610"/>
    <x v="0"/>
    <x v="0"/>
    <n v="30000"/>
    <n v="1"/>
    <x v="0"/>
    <s v="Clerical"/>
    <s v="Yes"/>
    <n v="0"/>
    <x v="0"/>
    <x v="0"/>
    <x v="15"/>
    <x v="0"/>
    <x v="0"/>
  </r>
  <r>
    <n v="27183"/>
    <x v="1"/>
    <x v="1"/>
    <n v="40000"/>
    <n v="2"/>
    <x v="1"/>
    <s v="Clerical"/>
    <s v="Yes"/>
    <n v="1"/>
    <x v="3"/>
    <x v="0"/>
    <x v="11"/>
    <x v="2"/>
    <x v="1"/>
  </r>
  <r>
    <n v="25940"/>
    <x v="1"/>
    <x v="1"/>
    <n v="20000"/>
    <n v="2"/>
    <x v="3"/>
    <s v="Clerical"/>
    <s v="Yes"/>
    <n v="2"/>
    <x v="2"/>
    <x v="1"/>
    <x v="10"/>
    <x v="0"/>
    <x v="1"/>
  </r>
  <r>
    <n v="25598"/>
    <x v="0"/>
    <x v="0"/>
    <n v="40000"/>
    <n v="0"/>
    <x v="4"/>
    <s v="Clerical"/>
    <s v="Yes"/>
    <n v="0"/>
    <x v="0"/>
    <x v="0"/>
    <x v="4"/>
    <x v="2"/>
    <x v="1"/>
  </r>
  <r>
    <n v="21564"/>
    <x v="1"/>
    <x v="0"/>
    <n v="80000"/>
    <n v="0"/>
    <x v="0"/>
    <s v="Professional"/>
    <s v="Yes"/>
    <n v="4"/>
    <x v="4"/>
    <x v="1"/>
    <x v="11"/>
    <x v="2"/>
    <x v="0"/>
  </r>
  <r>
    <n v="19193"/>
    <x v="1"/>
    <x v="1"/>
    <n v="40000"/>
    <n v="2"/>
    <x v="1"/>
    <s v="Clerical"/>
    <s v="Yes"/>
    <n v="0"/>
    <x v="3"/>
    <x v="0"/>
    <x v="11"/>
    <x v="2"/>
    <x v="1"/>
  </r>
  <r>
    <n v="26412"/>
    <x v="0"/>
    <x v="0"/>
    <n v="80000"/>
    <n v="5"/>
    <x v="2"/>
    <s v="Management"/>
    <s v="No"/>
    <n v="3"/>
    <x v="2"/>
    <x v="0"/>
    <x v="16"/>
    <x v="0"/>
    <x v="0"/>
  </r>
  <r>
    <n v="27184"/>
    <x v="1"/>
    <x v="1"/>
    <n v="40000"/>
    <n v="2"/>
    <x v="1"/>
    <s v="Clerical"/>
    <s v="No"/>
    <n v="1"/>
    <x v="0"/>
    <x v="0"/>
    <x v="17"/>
    <x v="2"/>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2"/>
    <x v="1"/>
  </r>
  <r>
    <n v="13826"/>
    <x v="1"/>
    <x v="0"/>
    <n v="30000"/>
    <n v="0"/>
    <x v="1"/>
    <s v="Clerical"/>
    <s v="No"/>
    <n v="1"/>
    <x v="0"/>
    <x v="0"/>
    <x v="26"/>
    <x v="2"/>
    <x v="0"/>
  </r>
  <r>
    <n v="20619"/>
    <x v="1"/>
    <x v="1"/>
    <n v="80000"/>
    <n v="0"/>
    <x v="0"/>
    <s v="Professional"/>
    <s v="No"/>
    <n v="4"/>
    <x v="4"/>
    <x v="1"/>
    <x v="11"/>
    <x v="2"/>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2"/>
    <x v="1"/>
  </r>
  <r>
    <n v="24185"/>
    <x v="1"/>
    <x v="0"/>
    <n v="10000"/>
    <n v="1"/>
    <x v="2"/>
    <s v="Manual"/>
    <s v="No"/>
    <n v="1"/>
    <x v="3"/>
    <x v="0"/>
    <x v="12"/>
    <x v="0"/>
    <x v="0"/>
  </r>
  <r>
    <n v="19291"/>
    <x v="1"/>
    <x v="0"/>
    <n v="10000"/>
    <n v="2"/>
    <x v="2"/>
    <s v="Manual"/>
    <s v="Yes"/>
    <n v="0"/>
    <x v="0"/>
    <x v="0"/>
    <x v="11"/>
    <x v="2"/>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2"/>
    <x v="1"/>
  </r>
  <r>
    <n v="29337"/>
    <x v="1"/>
    <x v="1"/>
    <n v="30000"/>
    <n v="2"/>
    <x v="1"/>
    <s v="Clerical"/>
    <s v="Yes"/>
    <n v="2"/>
    <x v="2"/>
    <x v="1"/>
    <x v="35"/>
    <x v="1"/>
    <x v="0"/>
  </r>
  <r>
    <n v="29355"/>
    <x v="0"/>
    <x v="0"/>
    <n v="40000"/>
    <n v="0"/>
    <x v="4"/>
    <s v="Clerical"/>
    <s v="Yes"/>
    <n v="0"/>
    <x v="0"/>
    <x v="0"/>
    <x v="34"/>
    <x v="2"/>
    <x v="1"/>
  </r>
  <r>
    <n v="25303"/>
    <x v="1"/>
    <x v="1"/>
    <n v="30000"/>
    <n v="0"/>
    <x v="2"/>
    <s v="Manual"/>
    <s v="Yes"/>
    <n v="1"/>
    <x v="1"/>
    <x v="0"/>
    <x v="6"/>
    <x v="2"/>
    <x v="1"/>
  </r>
  <r>
    <n v="14813"/>
    <x v="1"/>
    <x v="0"/>
    <n v="20000"/>
    <n v="4"/>
    <x v="2"/>
    <s v="Manual"/>
    <s v="Yes"/>
    <n v="1"/>
    <x v="0"/>
    <x v="0"/>
    <x v="1"/>
    <x v="0"/>
    <x v="1"/>
  </r>
  <r>
    <n v="16438"/>
    <x v="0"/>
    <x v="0"/>
    <n v="10000"/>
    <n v="0"/>
    <x v="3"/>
    <s v="Manual"/>
    <s v="No"/>
    <n v="2"/>
    <x v="0"/>
    <x v="0"/>
    <x v="25"/>
    <x v="2"/>
    <x v="0"/>
  </r>
  <r>
    <n v="14238"/>
    <x v="0"/>
    <x v="1"/>
    <n v="120000"/>
    <n v="0"/>
    <x v="3"/>
    <s v="Professional"/>
    <s v="Yes"/>
    <n v="4"/>
    <x v="4"/>
    <x v="1"/>
    <x v="4"/>
    <x v="2"/>
    <x v="1"/>
  </r>
  <r>
    <n v="16200"/>
    <x v="1"/>
    <x v="0"/>
    <n v="10000"/>
    <n v="0"/>
    <x v="3"/>
    <s v="Manual"/>
    <s v="No"/>
    <n v="2"/>
    <x v="0"/>
    <x v="0"/>
    <x v="11"/>
    <x v="2"/>
    <x v="0"/>
  </r>
  <r>
    <n v="24857"/>
    <x v="0"/>
    <x v="0"/>
    <n v="130000"/>
    <n v="3"/>
    <x v="2"/>
    <s v="Professional"/>
    <s v="Yes"/>
    <n v="4"/>
    <x v="0"/>
    <x v="0"/>
    <x v="31"/>
    <x v="0"/>
    <x v="0"/>
  </r>
  <r>
    <n v="26956"/>
    <x v="1"/>
    <x v="0"/>
    <n v="20000"/>
    <n v="0"/>
    <x v="1"/>
    <s v="Manual"/>
    <s v="No"/>
    <n v="1"/>
    <x v="1"/>
    <x v="0"/>
    <x v="4"/>
    <x v="2"/>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2"/>
    <x v="1"/>
  </r>
  <r>
    <n v="15608"/>
    <x v="1"/>
    <x v="0"/>
    <n v="30000"/>
    <n v="0"/>
    <x v="1"/>
    <s v="Clerical"/>
    <s v="No"/>
    <n v="1"/>
    <x v="1"/>
    <x v="0"/>
    <x v="6"/>
    <x v="2"/>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2"/>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2"/>
    <x v="1"/>
  </r>
  <r>
    <n v="28395"/>
    <x v="1"/>
    <x v="1"/>
    <n v="40000"/>
    <n v="0"/>
    <x v="0"/>
    <s v="Professional"/>
    <s v="No"/>
    <n v="0"/>
    <x v="0"/>
    <x v="0"/>
    <x v="32"/>
    <x v="2"/>
    <x v="1"/>
  </r>
  <r>
    <n v="21006"/>
    <x v="1"/>
    <x v="0"/>
    <n v="30000"/>
    <n v="1"/>
    <x v="1"/>
    <s v="Manual"/>
    <s v="No"/>
    <n v="0"/>
    <x v="0"/>
    <x v="0"/>
    <x v="30"/>
    <x v="0"/>
    <x v="1"/>
  </r>
  <r>
    <n v="14682"/>
    <x v="1"/>
    <x v="0"/>
    <n v="70000"/>
    <n v="0"/>
    <x v="0"/>
    <s v="Professional"/>
    <s v="No"/>
    <n v="1"/>
    <x v="2"/>
    <x v="1"/>
    <x v="13"/>
    <x v="2"/>
    <x v="0"/>
  </r>
  <r>
    <n v="17650"/>
    <x v="1"/>
    <x v="0"/>
    <n v="40000"/>
    <n v="2"/>
    <x v="1"/>
    <s v="Clerical"/>
    <s v="Yes"/>
    <n v="2"/>
    <x v="3"/>
    <x v="0"/>
    <x v="11"/>
    <x v="2"/>
    <x v="0"/>
  </r>
  <r>
    <n v="29191"/>
    <x v="1"/>
    <x v="0"/>
    <n v="130000"/>
    <n v="1"/>
    <x v="4"/>
    <s v="Management"/>
    <s v="No"/>
    <n v="1"/>
    <x v="0"/>
    <x v="1"/>
    <x v="4"/>
    <x v="2"/>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0"/>
    <x v="0"/>
  </r>
  <r>
    <n v="27775"/>
    <x v="1"/>
    <x v="0"/>
    <n v="40000"/>
    <n v="0"/>
    <x v="0"/>
    <s v="Clerical"/>
    <s v="No"/>
    <n v="0"/>
    <x v="0"/>
    <x v="0"/>
    <x v="13"/>
    <x v="2"/>
    <x v="1"/>
  </r>
  <r>
    <n v="29301"/>
    <x v="0"/>
    <x v="1"/>
    <n v="80000"/>
    <n v="5"/>
    <x v="0"/>
    <s v="Professional"/>
    <s v="Yes"/>
    <n v="4"/>
    <x v="3"/>
    <x v="1"/>
    <x v="8"/>
    <x v="0"/>
    <x v="0"/>
  </r>
  <r>
    <n v="12716"/>
    <x v="1"/>
    <x v="1"/>
    <n v="30000"/>
    <n v="0"/>
    <x v="1"/>
    <s v="Clerical"/>
    <s v="Yes"/>
    <n v="1"/>
    <x v="1"/>
    <x v="0"/>
    <x v="21"/>
    <x v="2"/>
    <x v="0"/>
  </r>
  <r>
    <n v="12472"/>
    <x v="0"/>
    <x v="1"/>
    <n v="30000"/>
    <n v="1"/>
    <x v="0"/>
    <s v="Clerical"/>
    <s v="Yes"/>
    <n v="1"/>
    <x v="1"/>
    <x v="0"/>
    <x v="32"/>
    <x v="2"/>
    <x v="0"/>
  </r>
  <r>
    <n v="20970"/>
    <x v="1"/>
    <x v="1"/>
    <n v="10000"/>
    <n v="2"/>
    <x v="1"/>
    <s v="Manual"/>
    <s v="Yes"/>
    <n v="1"/>
    <x v="0"/>
    <x v="0"/>
    <x v="31"/>
    <x v="0"/>
    <x v="1"/>
  </r>
  <r>
    <n v="26818"/>
    <x v="1"/>
    <x v="1"/>
    <n v="10000"/>
    <n v="3"/>
    <x v="2"/>
    <s v="Manual"/>
    <s v="Yes"/>
    <n v="1"/>
    <x v="0"/>
    <x v="0"/>
    <x v="32"/>
    <x v="2"/>
    <x v="1"/>
  </r>
  <r>
    <n v="12993"/>
    <x v="0"/>
    <x v="1"/>
    <n v="60000"/>
    <n v="2"/>
    <x v="0"/>
    <s v="Professional"/>
    <s v="Yes"/>
    <n v="1"/>
    <x v="1"/>
    <x v="1"/>
    <x v="34"/>
    <x v="2"/>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2"/>
    <x v="0"/>
  </r>
  <r>
    <n v="20877"/>
    <x v="1"/>
    <x v="1"/>
    <n v="30000"/>
    <n v="1"/>
    <x v="0"/>
    <s v="Clerical"/>
    <s v="Yes"/>
    <n v="0"/>
    <x v="3"/>
    <x v="0"/>
    <x v="34"/>
    <x v="2"/>
    <x v="1"/>
  </r>
  <r>
    <n v="20729"/>
    <x v="0"/>
    <x v="0"/>
    <n v="40000"/>
    <n v="2"/>
    <x v="1"/>
    <s v="Clerical"/>
    <s v="No"/>
    <n v="1"/>
    <x v="0"/>
    <x v="0"/>
    <x v="17"/>
    <x v="2"/>
    <x v="0"/>
  </r>
  <r>
    <n v="22464"/>
    <x v="0"/>
    <x v="1"/>
    <n v="40000"/>
    <n v="0"/>
    <x v="4"/>
    <s v="Clerical"/>
    <s v="Yes"/>
    <n v="0"/>
    <x v="0"/>
    <x v="0"/>
    <x v="34"/>
    <x v="2"/>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2"/>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2"/>
    <x v="0"/>
  </r>
  <r>
    <n v="17907"/>
    <x v="0"/>
    <x v="0"/>
    <n v="10000"/>
    <n v="0"/>
    <x v="1"/>
    <s v="Manual"/>
    <s v="Yes"/>
    <n v="1"/>
    <x v="1"/>
    <x v="1"/>
    <x v="40"/>
    <x v="2"/>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2"/>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2"/>
    <x v="1"/>
  </r>
  <r>
    <n v="15682"/>
    <x v="1"/>
    <x v="0"/>
    <n v="80000"/>
    <n v="5"/>
    <x v="0"/>
    <s v="Management"/>
    <s v="Yes"/>
    <n v="2"/>
    <x v="4"/>
    <x v="0"/>
    <x v="24"/>
    <x v="1"/>
    <x v="0"/>
  </r>
  <r>
    <n v="26032"/>
    <x v="0"/>
    <x v="0"/>
    <n v="70000"/>
    <n v="5"/>
    <x v="0"/>
    <s v="Professional"/>
    <s v="Yes"/>
    <n v="4"/>
    <x v="4"/>
    <x v="1"/>
    <x v="3"/>
    <x v="0"/>
    <x v="0"/>
  </r>
  <r>
    <n v="17843"/>
    <x v="1"/>
    <x v="0"/>
    <n v="10000"/>
    <n v="0"/>
    <x v="3"/>
    <s v="Manual"/>
    <s v="No"/>
    <n v="2"/>
    <x v="0"/>
    <x v="0"/>
    <x v="21"/>
    <x v="2"/>
    <x v="0"/>
  </r>
  <r>
    <n v="25559"/>
    <x v="1"/>
    <x v="1"/>
    <n v="20000"/>
    <n v="0"/>
    <x v="0"/>
    <s v="Clerical"/>
    <s v="Yes"/>
    <n v="0"/>
    <x v="0"/>
    <x v="1"/>
    <x v="37"/>
    <x v="2"/>
    <x v="1"/>
  </r>
  <r>
    <n v="16209"/>
    <x v="1"/>
    <x v="0"/>
    <n v="50000"/>
    <n v="0"/>
    <x v="4"/>
    <s v="Skilled Manual"/>
    <s v="Yes"/>
    <n v="0"/>
    <x v="3"/>
    <x v="0"/>
    <x v="4"/>
    <x v="2"/>
    <x v="0"/>
  </r>
  <r>
    <n v="11147"/>
    <x v="0"/>
    <x v="1"/>
    <n v="60000"/>
    <n v="2"/>
    <x v="4"/>
    <s v="Management"/>
    <s v="Yes"/>
    <n v="1"/>
    <x v="0"/>
    <x v="1"/>
    <x v="41"/>
    <x v="1"/>
    <x v="1"/>
  </r>
  <r>
    <n v="15214"/>
    <x v="1"/>
    <x v="0"/>
    <n v="100000"/>
    <n v="0"/>
    <x v="4"/>
    <s v="Management"/>
    <s v="No"/>
    <n v="1"/>
    <x v="3"/>
    <x v="1"/>
    <x v="32"/>
    <x v="2"/>
    <x v="1"/>
  </r>
  <r>
    <n v="11453"/>
    <x v="1"/>
    <x v="1"/>
    <n v="80000"/>
    <n v="0"/>
    <x v="0"/>
    <s v="Professional"/>
    <s v="No"/>
    <n v="3"/>
    <x v="4"/>
    <x v="1"/>
    <x v="6"/>
    <x v="2"/>
    <x v="1"/>
  </r>
  <r>
    <n v="24584"/>
    <x v="1"/>
    <x v="1"/>
    <n v="60000"/>
    <n v="0"/>
    <x v="0"/>
    <s v="Professional"/>
    <s v="No"/>
    <n v="3"/>
    <x v="1"/>
    <x v="1"/>
    <x v="23"/>
    <x v="2"/>
    <x v="0"/>
  </r>
  <r>
    <n v="12585"/>
    <x v="0"/>
    <x v="1"/>
    <n v="10000"/>
    <n v="1"/>
    <x v="2"/>
    <s v="Manual"/>
    <s v="Yes"/>
    <n v="0"/>
    <x v="1"/>
    <x v="1"/>
    <x v="40"/>
    <x v="2"/>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2"/>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2"/>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2"/>
    <x v="0"/>
  </r>
  <r>
    <n v="13813"/>
    <x v="0"/>
    <x v="0"/>
    <n v="30000"/>
    <n v="3"/>
    <x v="1"/>
    <s v="Clerical"/>
    <s v="No"/>
    <n v="0"/>
    <x v="0"/>
    <x v="0"/>
    <x v="0"/>
    <x v="0"/>
    <x v="0"/>
  </r>
  <r>
    <n v="18711"/>
    <x v="1"/>
    <x v="0"/>
    <n v="70000"/>
    <n v="5"/>
    <x v="0"/>
    <s v="Professional"/>
    <s v="Yes"/>
    <n v="4"/>
    <x v="4"/>
    <x v="1"/>
    <x v="32"/>
    <x v="2"/>
    <x v="0"/>
  </r>
  <r>
    <n v="19650"/>
    <x v="0"/>
    <x v="0"/>
    <n v="30000"/>
    <n v="2"/>
    <x v="1"/>
    <s v="Clerical"/>
    <s v="No"/>
    <n v="2"/>
    <x v="0"/>
    <x v="1"/>
    <x v="41"/>
    <x v="1"/>
    <x v="0"/>
  </r>
  <r>
    <n v="14135"/>
    <x v="0"/>
    <x v="1"/>
    <n v="20000"/>
    <n v="1"/>
    <x v="1"/>
    <s v="Manual"/>
    <s v="Yes"/>
    <n v="0"/>
    <x v="3"/>
    <x v="0"/>
    <x v="11"/>
    <x v="2"/>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2"/>
    <x v="1"/>
  </r>
  <r>
    <n v="12591"/>
    <x v="0"/>
    <x v="0"/>
    <n v="30000"/>
    <n v="4"/>
    <x v="4"/>
    <s v="Clerical"/>
    <s v="Yes"/>
    <n v="0"/>
    <x v="0"/>
    <x v="0"/>
    <x v="12"/>
    <x v="0"/>
    <x v="0"/>
  </r>
  <r>
    <n v="24174"/>
    <x v="0"/>
    <x v="1"/>
    <n v="20000"/>
    <n v="0"/>
    <x v="0"/>
    <s v="Clerical"/>
    <s v="Yes"/>
    <n v="0"/>
    <x v="0"/>
    <x v="1"/>
    <x v="40"/>
    <x v="2"/>
    <x v="1"/>
  </r>
  <r>
    <n v="24611"/>
    <x v="1"/>
    <x v="1"/>
    <n v="90000"/>
    <n v="0"/>
    <x v="0"/>
    <s v="Professional"/>
    <s v="No"/>
    <n v="4"/>
    <x v="4"/>
    <x v="1"/>
    <x v="11"/>
    <x v="2"/>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2"/>
    <x v="1"/>
  </r>
  <r>
    <n v="17702"/>
    <x v="0"/>
    <x v="1"/>
    <n v="10000"/>
    <n v="1"/>
    <x v="4"/>
    <s v="Manual"/>
    <s v="Yes"/>
    <n v="0"/>
    <x v="0"/>
    <x v="0"/>
    <x v="34"/>
    <x v="2"/>
    <x v="0"/>
  </r>
  <r>
    <n v="12503"/>
    <x v="1"/>
    <x v="0"/>
    <n v="30000"/>
    <n v="3"/>
    <x v="1"/>
    <s v="Clerical"/>
    <s v="Yes"/>
    <n v="2"/>
    <x v="0"/>
    <x v="0"/>
    <x v="40"/>
    <x v="2"/>
    <x v="0"/>
  </r>
  <r>
    <n v="23908"/>
    <x v="1"/>
    <x v="1"/>
    <n v="30000"/>
    <n v="1"/>
    <x v="0"/>
    <s v="Clerical"/>
    <s v="No"/>
    <n v="1"/>
    <x v="0"/>
    <x v="0"/>
    <x v="32"/>
    <x v="2"/>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2"/>
    <x v="1"/>
  </r>
  <r>
    <n v="13981"/>
    <x v="0"/>
    <x v="0"/>
    <n v="10000"/>
    <n v="5"/>
    <x v="2"/>
    <s v="Skilled Manual"/>
    <s v="No"/>
    <n v="3"/>
    <x v="3"/>
    <x v="1"/>
    <x v="24"/>
    <x v="1"/>
    <x v="0"/>
  </r>
  <r>
    <n v="23432"/>
    <x v="1"/>
    <x v="1"/>
    <n v="70000"/>
    <n v="0"/>
    <x v="0"/>
    <s v="Professional"/>
    <s v="Yes"/>
    <n v="1"/>
    <x v="2"/>
    <x v="1"/>
    <x v="34"/>
    <x v="2"/>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2"/>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2"/>
    <x v="1"/>
  </r>
  <r>
    <n v="14193"/>
    <x v="1"/>
    <x v="0"/>
    <n v="100000"/>
    <n v="3"/>
    <x v="1"/>
    <s v="Management"/>
    <s v="Yes"/>
    <n v="4"/>
    <x v="4"/>
    <x v="0"/>
    <x v="16"/>
    <x v="0"/>
    <x v="0"/>
  </r>
  <r>
    <n v="12705"/>
    <x v="0"/>
    <x v="1"/>
    <n v="150000"/>
    <n v="0"/>
    <x v="0"/>
    <s v="Management"/>
    <s v="Yes"/>
    <n v="4"/>
    <x v="0"/>
    <x v="1"/>
    <x v="34"/>
    <x v="2"/>
    <x v="1"/>
  </r>
  <r>
    <n v="22672"/>
    <x v="1"/>
    <x v="0"/>
    <n v="30000"/>
    <n v="2"/>
    <x v="1"/>
    <s v="Clerical"/>
    <s v="Yes"/>
    <n v="0"/>
    <x v="0"/>
    <x v="0"/>
    <x v="1"/>
    <x v="0"/>
    <x v="0"/>
  </r>
  <r>
    <n v="26219"/>
    <x v="0"/>
    <x v="0"/>
    <n v="40000"/>
    <n v="1"/>
    <x v="0"/>
    <s v="Skilled Manual"/>
    <s v="Yes"/>
    <n v="1"/>
    <x v="3"/>
    <x v="0"/>
    <x v="6"/>
    <x v="2"/>
    <x v="1"/>
  </r>
  <r>
    <n v="28468"/>
    <x v="0"/>
    <x v="0"/>
    <n v="10000"/>
    <n v="2"/>
    <x v="1"/>
    <s v="Manual"/>
    <s v="Yes"/>
    <n v="0"/>
    <x v="3"/>
    <x v="0"/>
    <x v="36"/>
    <x v="0"/>
    <x v="0"/>
  </r>
  <r>
    <n v="23419"/>
    <x v="1"/>
    <x v="0"/>
    <n v="70000"/>
    <n v="5"/>
    <x v="0"/>
    <s v="Professional"/>
    <s v="Yes"/>
    <n v="3"/>
    <x v="4"/>
    <x v="1"/>
    <x v="32"/>
    <x v="2"/>
    <x v="0"/>
  </r>
  <r>
    <n v="17964"/>
    <x v="0"/>
    <x v="1"/>
    <n v="40000"/>
    <n v="0"/>
    <x v="4"/>
    <s v="Clerical"/>
    <s v="Yes"/>
    <n v="0"/>
    <x v="0"/>
    <x v="0"/>
    <x v="34"/>
    <x v="2"/>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2"/>
    <x v="1"/>
  </r>
  <r>
    <n v="26654"/>
    <x v="0"/>
    <x v="0"/>
    <n v="90000"/>
    <n v="1"/>
    <x v="4"/>
    <s v="Management"/>
    <s v="Yes"/>
    <n v="0"/>
    <x v="0"/>
    <x v="1"/>
    <x v="34"/>
    <x v="2"/>
    <x v="1"/>
  </r>
  <r>
    <n v="14545"/>
    <x v="0"/>
    <x v="0"/>
    <n v="10000"/>
    <n v="2"/>
    <x v="1"/>
    <s v="Manual"/>
    <s v="Yes"/>
    <n v="0"/>
    <x v="3"/>
    <x v="0"/>
    <x v="38"/>
    <x v="0"/>
    <x v="0"/>
  </r>
  <r>
    <n v="24201"/>
    <x v="0"/>
    <x v="0"/>
    <n v="10000"/>
    <n v="2"/>
    <x v="2"/>
    <s v="Manual"/>
    <s v="Yes"/>
    <n v="0"/>
    <x v="0"/>
    <x v="0"/>
    <x v="34"/>
    <x v="2"/>
    <x v="1"/>
  </r>
  <r>
    <n v="20625"/>
    <x v="0"/>
    <x v="1"/>
    <n v="100000"/>
    <n v="0"/>
    <x v="2"/>
    <s v="Management"/>
    <s v="Yes"/>
    <n v="3"/>
    <x v="4"/>
    <x v="1"/>
    <x v="11"/>
    <x v="2"/>
    <x v="1"/>
  </r>
  <r>
    <n v="16390"/>
    <x v="1"/>
    <x v="1"/>
    <n v="30000"/>
    <n v="1"/>
    <x v="0"/>
    <s v="Clerical"/>
    <s v="No"/>
    <n v="0"/>
    <x v="0"/>
    <x v="0"/>
    <x v="13"/>
    <x v="2"/>
    <x v="1"/>
  </r>
  <r>
    <n v="14804"/>
    <x v="1"/>
    <x v="0"/>
    <n v="10000"/>
    <n v="3"/>
    <x v="3"/>
    <s v="Manual"/>
    <s v="Yes"/>
    <n v="2"/>
    <x v="0"/>
    <x v="0"/>
    <x v="1"/>
    <x v="0"/>
    <x v="0"/>
  </r>
  <r>
    <n v="12629"/>
    <x v="1"/>
    <x v="1"/>
    <n v="20000"/>
    <n v="1"/>
    <x v="1"/>
    <s v="Manual"/>
    <s v="No"/>
    <n v="0"/>
    <x v="0"/>
    <x v="0"/>
    <x v="34"/>
    <x v="2"/>
    <x v="0"/>
  </r>
  <r>
    <n v="14696"/>
    <x v="1"/>
    <x v="1"/>
    <n v="10000"/>
    <n v="0"/>
    <x v="3"/>
    <s v="Manual"/>
    <s v="No"/>
    <n v="2"/>
    <x v="0"/>
    <x v="0"/>
    <x v="17"/>
    <x v="2"/>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2"/>
    <x v="1"/>
  </r>
  <r>
    <n v="20923"/>
    <x v="0"/>
    <x v="0"/>
    <n v="40000"/>
    <n v="1"/>
    <x v="0"/>
    <s v="Skilled Manual"/>
    <s v="Yes"/>
    <n v="0"/>
    <x v="0"/>
    <x v="0"/>
    <x v="0"/>
    <x v="0"/>
    <x v="1"/>
  </r>
  <r>
    <n v="11378"/>
    <x v="1"/>
    <x v="0"/>
    <n v="10000"/>
    <n v="1"/>
    <x v="2"/>
    <s v="Manual"/>
    <s v="No"/>
    <n v="1"/>
    <x v="1"/>
    <x v="0"/>
    <x v="30"/>
    <x v="0"/>
    <x v="1"/>
  </r>
  <r>
    <n v="20851"/>
    <x v="1"/>
    <x v="1"/>
    <n v="20000"/>
    <n v="0"/>
    <x v="1"/>
    <s v="Manual"/>
    <s v="No"/>
    <n v="1"/>
    <x v="1"/>
    <x v="0"/>
    <x v="4"/>
    <x v="2"/>
    <x v="1"/>
  </r>
  <r>
    <n v="21557"/>
    <x v="1"/>
    <x v="0"/>
    <n v="110000"/>
    <n v="0"/>
    <x v="1"/>
    <s v="Management"/>
    <s v="Yes"/>
    <n v="3"/>
    <x v="4"/>
    <x v="1"/>
    <x v="21"/>
    <x v="2"/>
    <x v="1"/>
  </r>
  <r>
    <n v="26663"/>
    <x v="1"/>
    <x v="0"/>
    <n v="60000"/>
    <n v="2"/>
    <x v="0"/>
    <s v="Professional"/>
    <s v="No"/>
    <n v="1"/>
    <x v="0"/>
    <x v="1"/>
    <x v="32"/>
    <x v="2"/>
    <x v="1"/>
  </r>
  <r>
    <n v="11896"/>
    <x v="0"/>
    <x v="1"/>
    <n v="100000"/>
    <n v="1"/>
    <x v="4"/>
    <s v="Management"/>
    <s v="Yes"/>
    <n v="0"/>
    <x v="1"/>
    <x v="1"/>
    <x v="4"/>
    <x v="2"/>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2"/>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2"/>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2"/>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2"/>
    <x v="1"/>
  </r>
  <r>
    <n v="22930"/>
    <x v="0"/>
    <x v="1"/>
    <n v="90000"/>
    <n v="4"/>
    <x v="0"/>
    <s v="Professional"/>
    <s v="Yes"/>
    <n v="0"/>
    <x v="3"/>
    <x v="1"/>
    <x v="13"/>
    <x v="2"/>
    <x v="1"/>
  </r>
  <r>
    <n v="23780"/>
    <x v="1"/>
    <x v="1"/>
    <n v="40000"/>
    <n v="2"/>
    <x v="1"/>
    <s v="Clerical"/>
    <s v="No"/>
    <n v="2"/>
    <x v="0"/>
    <x v="0"/>
    <x v="4"/>
    <x v="2"/>
    <x v="1"/>
  </r>
  <r>
    <n v="20994"/>
    <x v="0"/>
    <x v="0"/>
    <n v="20000"/>
    <n v="0"/>
    <x v="0"/>
    <s v="Clerical"/>
    <s v="No"/>
    <n v="0"/>
    <x v="0"/>
    <x v="1"/>
    <x v="22"/>
    <x v="2"/>
    <x v="1"/>
  </r>
  <r>
    <n v="28379"/>
    <x v="0"/>
    <x v="1"/>
    <n v="30000"/>
    <n v="1"/>
    <x v="0"/>
    <s v="Skilled Manual"/>
    <s v="Yes"/>
    <n v="2"/>
    <x v="0"/>
    <x v="0"/>
    <x v="8"/>
    <x v="0"/>
    <x v="0"/>
  </r>
  <r>
    <n v="14865"/>
    <x v="1"/>
    <x v="1"/>
    <n v="40000"/>
    <n v="2"/>
    <x v="1"/>
    <s v="Clerical"/>
    <s v="Yes"/>
    <n v="2"/>
    <x v="3"/>
    <x v="0"/>
    <x v="4"/>
    <x v="2"/>
    <x v="0"/>
  </r>
  <r>
    <n v="12663"/>
    <x v="0"/>
    <x v="0"/>
    <n v="90000"/>
    <n v="5"/>
    <x v="3"/>
    <s v="Skilled Manual"/>
    <s v="Yes"/>
    <n v="2"/>
    <x v="4"/>
    <x v="0"/>
    <x v="14"/>
    <x v="0"/>
    <x v="0"/>
  </r>
  <r>
    <n v="24898"/>
    <x v="1"/>
    <x v="0"/>
    <n v="80000"/>
    <n v="0"/>
    <x v="0"/>
    <s v="Professional"/>
    <s v="Yes"/>
    <n v="3"/>
    <x v="4"/>
    <x v="1"/>
    <x v="21"/>
    <x v="2"/>
    <x v="0"/>
  </r>
  <r>
    <n v="19508"/>
    <x v="0"/>
    <x v="1"/>
    <n v="10000"/>
    <n v="0"/>
    <x v="3"/>
    <s v="Manual"/>
    <s v="No"/>
    <n v="2"/>
    <x v="0"/>
    <x v="0"/>
    <x v="25"/>
    <x v="2"/>
    <x v="0"/>
  </r>
  <r>
    <n v="11489"/>
    <x v="1"/>
    <x v="0"/>
    <n v="20000"/>
    <n v="0"/>
    <x v="3"/>
    <s v="Manual"/>
    <s v="No"/>
    <n v="2"/>
    <x v="3"/>
    <x v="0"/>
    <x v="11"/>
    <x v="2"/>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2"/>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2"/>
    <x v="1"/>
  </r>
  <r>
    <n v="19183"/>
    <x v="1"/>
    <x v="1"/>
    <n v="10000"/>
    <n v="0"/>
    <x v="3"/>
    <s v="Manual"/>
    <s v="Yes"/>
    <n v="2"/>
    <x v="3"/>
    <x v="0"/>
    <x v="11"/>
    <x v="2"/>
    <x v="0"/>
  </r>
  <r>
    <n v="13683"/>
    <x v="1"/>
    <x v="0"/>
    <n v="30000"/>
    <n v="0"/>
    <x v="2"/>
    <s v="Manual"/>
    <s v="No"/>
    <n v="1"/>
    <x v="1"/>
    <x v="0"/>
    <x v="21"/>
    <x v="2"/>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2"/>
    <x v="1"/>
  </r>
  <r>
    <n v="27941"/>
    <x v="0"/>
    <x v="0"/>
    <n v="80000"/>
    <n v="4"/>
    <x v="1"/>
    <s v="Professional"/>
    <s v="Yes"/>
    <n v="2"/>
    <x v="1"/>
    <x v="0"/>
    <x v="39"/>
    <x v="0"/>
    <x v="0"/>
  </r>
  <r>
    <n v="26354"/>
    <x v="1"/>
    <x v="1"/>
    <n v="40000"/>
    <n v="0"/>
    <x v="4"/>
    <s v="Clerical"/>
    <s v="No"/>
    <n v="0"/>
    <x v="0"/>
    <x v="0"/>
    <x v="13"/>
    <x v="2"/>
    <x v="1"/>
  </r>
  <r>
    <n v="14785"/>
    <x v="1"/>
    <x v="1"/>
    <n v="30000"/>
    <n v="1"/>
    <x v="0"/>
    <s v="Clerical"/>
    <s v="No"/>
    <n v="1"/>
    <x v="3"/>
    <x v="0"/>
    <x v="32"/>
    <x v="2"/>
    <x v="0"/>
  </r>
  <r>
    <n v="17238"/>
    <x v="1"/>
    <x v="1"/>
    <n v="80000"/>
    <n v="0"/>
    <x v="0"/>
    <s v="Professional"/>
    <s v="Yes"/>
    <n v="3"/>
    <x v="4"/>
    <x v="1"/>
    <x v="21"/>
    <x v="2"/>
    <x v="0"/>
  </r>
  <r>
    <n v="23608"/>
    <x v="0"/>
    <x v="0"/>
    <n v="150000"/>
    <n v="3"/>
    <x v="2"/>
    <s v="Professional"/>
    <s v="Yes"/>
    <n v="3"/>
    <x v="0"/>
    <x v="0"/>
    <x v="36"/>
    <x v="0"/>
    <x v="1"/>
  </r>
  <r>
    <n v="22538"/>
    <x v="1"/>
    <x v="0"/>
    <n v="10000"/>
    <n v="0"/>
    <x v="3"/>
    <s v="Manual"/>
    <s v="Yes"/>
    <n v="2"/>
    <x v="3"/>
    <x v="0"/>
    <x v="6"/>
    <x v="2"/>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2"/>
    <x v="1"/>
  </r>
  <r>
    <n v="23571"/>
    <x v="0"/>
    <x v="0"/>
    <n v="40000"/>
    <n v="2"/>
    <x v="0"/>
    <s v="Management"/>
    <s v="Yes"/>
    <n v="2"/>
    <x v="0"/>
    <x v="1"/>
    <x v="29"/>
    <x v="1"/>
    <x v="1"/>
  </r>
  <r>
    <n v="19305"/>
    <x v="1"/>
    <x v="0"/>
    <n v="10000"/>
    <n v="2"/>
    <x v="2"/>
    <s v="Manual"/>
    <s v="Yes"/>
    <n v="1"/>
    <x v="0"/>
    <x v="0"/>
    <x v="13"/>
    <x v="2"/>
    <x v="1"/>
  </r>
  <r>
    <n v="22636"/>
    <x v="1"/>
    <x v="0"/>
    <n v="40000"/>
    <n v="0"/>
    <x v="0"/>
    <s v="Clerical"/>
    <s v="No"/>
    <n v="0"/>
    <x v="0"/>
    <x v="0"/>
    <x v="13"/>
    <x v="2"/>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2"/>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2"/>
    <x v="1"/>
  </r>
  <r>
    <n v="12581"/>
    <x v="1"/>
    <x v="0"/>
    <n v="10000"/>
    <n v="0"/>
    <x v="1"/>
    <s v="Manual"/>
    <s v="No"/>
    <n v="1"/>
    <x v="0"/>
    <x v="1"/>
    <x v="26"/>
    <x v="2"/>
    <x v="1"/>
  </r>
  <r>
    <n v="18018"/>
    <x v="1"/>
    <x v="1"/>
    <n v="30000"/>
    <n v="3"/>
    <x v="1"/>
    <s v="Clerical"/>
    <s v="Yes"/>
    <n v="0"/>
    <x v="0"/>
    <x v="0"/>
    <x v="1"/>
    <x v="0"/>
    <x v="0"/>
  </r>
  <r>
    <n v="28957"/>
    <x v="1"/>
    <x v="0"/>
    <n v="120000"/>
    <n v="0"/>
    <x v="3"/>
    <s v="Professional"/>
    <s v="Yes"/>
    <n v="4"/>
    <x v="4"/>
    <x v="1"/>
    <x v="17"/>
    <x v="2"/>
    <x v="1"/>
  </r>
  <r>
    <n v="13690"/>
    <x v="1"/>
    <x v="0"/>
    <n v="20000"/>
    <n v="0"/>
    <x v="3"/>
    <s v="Manual"/>
    <s v="No"/>
    <n v="2"/>
    <x v="3"/>
    <x v="0"/>
    <x v="17"/>
    <x v="2"/>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2"/>
    <x v="0"/>
  </r>
  <r>
    <n v="26150"/>
    <x v="1"/>
    <x v="0"/>
    <n v="70000"/>
    <n v="0"/>
    <x v="0"/>
    <s v="Professional"/>
    <s v="No"/>
    <n v="1"/>
    <x v="0"/>
    <x v="1"/>
    <x v="3"/>
    <x v="0"/>
    <x v="1"/>
  </r>
  <r>
    <n v="24151"/>
    <x v="1"/>
    <x v="1"/>
    <n v="20000"/>
    <n v="1"/>
    <x v="0"/>
    <s v="Clerical"/>
    <s v="No"/>
    <n v="0"/>
    <x v="0"/>
    <x v="0"/>
    <x v="36"/>
    <x v="0"/>
    <x v="0"/>
  </r>
  <r>
    <n v="23962"/>
    <x v="0"/>
    <x v="0"/>
    <n v="10000"/>
    <n v="0"/>
    <x v="3"/>
    <s v="Manual"/>
    <s v="Yes"/>
    <n v="2"/>
    <x v="3"/>
    <x v="0"/>
    <x v="21"/>
    <x v="2"/>
    <x v="0"/>
  </r>
  <r>
    <n v="17793"/>
    <x v="0"/>
    <x v="0"/>
    <n v="40000"/>
    <n v="0"/>
    <x v="0"/>
    <s v="Clerical"/>
    <s v="Yes"/>
    <n v="0"/>
    <x v="0"/>
    <x v="0"/>
    <x v="13"/>
    <x v="2"/>
    <x v="1"/>
  </r>
  <r>
    <n v="14926"/>
    <x v="0"/>
    <x v="1"/>
    <n v="30000"/>
    <n v="1"/>
    <x v="0"/>
    <s v="Clerical"/>
    <s v="Yes"/>
    <n v="0"/>
    <x v="0"/>
    <x v="0"/>
    <x v="13"/>
    <x v="2"/>
    <x v="1"/>
  </r>
  <r>
    <n v="16163"/>
    <x v="1"/>
    <x v="1"/>
    <n v="60000"/>
    <n v="2"/>
    <x v="0"/>
    <s v="Professional"/>
    <s v="Yes"/>
    <n v="1"/>
    <x v="1"/>
    <x v="1"/>
    <x v="13"/>
    <x v="2"/>
    <x v="1"/>
  </r>
  <r>
    <n v="21365"/>
    <x v="0"/>
    <x v="0"/>
    <n v="10000"/>
    <n v="2"/>
    <x v="3"/>
    <s v="Clerical"/>
    <s v="Yes"/>
    <n v="2"/>
    <x v="2"/>
    <x v="1"/>
    <x v="7"/>
    <x v="0"/>
    <x v="0"/>
  </r>
  <r>
    <n v="27771"/>
    <x v="1"/>
    <x v="1"/>
    <n v="30000"/>
    <n v="1"/>
    <x v="0"/>
    <s v="Clerical"/>
    <s v="Yes"/>
    <n v="1"/>
    <x v="3"/>
    <x v="0"/>
    <x v="32"/>
    <x v="2"/>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2"/>
    <x v="1"/>
  </r>
  <r>
    <n v="18012"/>
    <x v="0"/>
    <x v="0"/>
    <n v="40000"/>
    <n v="1"/>
    <x v="0"/>
    <s v="Skilled Manual"/>
    <s v="Yes"/>
    <n v="0"/>
    <x v="0"/>
    <x v="0"/>
    <x v="3"/>
    <x v="0"/>
    <x v="0"/>
  </r>
  <r>
    <n v="27582"/>
    <x v="1"/>
    <x v="0"/>
    <n v="90000"/>
    <n v="2"/>
    <x v="0"/>
    <s v="Professional"/>
    <s v="No"/>
    <n v="0"/>
    <x v="0"/>
    <x v="1"/>
    <x v="4"/>
    <x v="2"/>
    <x v="1"/>
  </r>
  <r>
    <n v="12744"/>
    <x v="1"/>
    <x v="0"/>
    <n v="40000"/>
    <n v="2"/>
    <x v="1"/>
    <s v="Clerical"/>
    <s v="Yes"/>
    <n v="0"/>
    <x v="0"/>
    <x v="0"/>
    <x v="6"/>
    <x v="2"/>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2"/>
    <x v="0"/>
  </r>
  <r>
    <n v="25266"/>
    <x v="1"/>
    <x v="0"/>
    <n v="30000"/>
    <n v="2"/>
    <x v="1"/>
    <s v="Clerical"/>
    <s v="No"/>
    <n v="2"/>
    <x v="2"/>
    <x v="1"/>
    <x v="41"/>
    <x v="1"/>
    <x v="0"/>
  </r>
  <r>
    <n v="17960"/>
    <x v="0"/>
    <x v="0"/>
    <n v="40000"/>
    <n v="0"/>
    <x v="4"/>
    <s v="Clerical"/>
    <s v="Yes"/>
    <n v="0"/>
    <x v="0"/>
    <x v="0"/>
    <x v="11"/>
    <x v="2"/>
    <x v="1"/>
  </r>
  <r>
    <n v="13961"/>
    <x v="0"/>
    <x v="0"/>
    <n v="80000"/>
    <n v="5"/>
    <x v="4"/>
    <s v="Management"/>
    <s v="Yes"/>
    <n v="3"/>
    <x v="0"/>
    <x v="1"/>
    <x v="8"/>
    <x v="0"/>
    <x v="0"/>
  </r>
  <r>
    <n v="11897"/>
    <x v="1"/>
    <x v="1"/>
    <n v="60000"/>
    <n v="2"/>
    <x v="0"/>
    <s v="Professional"/>
    <s v="No"/>
    <n v="1"/>
    <x v="0"/>
    <x v="1"/>
    <x v="34"/>
    <x v="2"/>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2"/>
    <x v="1"/>
  </r>
  <r>
    <n v="27169"/>
    <x v="1"/>
    <x v="1"/>
    <n v="30000"/>
    <n v="0"/>
    <x v="2"/>
    <s v="Manual"/>
    <s v="Yes"/>
    <n v="1"/>
    <x v="1"/>
    <x v="0"/>
    <x v="17"/>
    <x v="2"/>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2"/>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2"/>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2"/>
    <x v="1"/>
  </r>
  <r>
    <n v="11061"/>
    <x v="0"/>
    <x v="1"/>
    <n v="70000"/>
    <n v="2"/>
    <x v="1"/>
    <s v="Skilled Manual"/>
    <s v="Yes"/>
    <n v="2"/>
    <x v="2"/>
    <x v="1"/>
    <x v="31"/>
    <x v="0"/>
    <x v="1"/>
  </r>
  <r>
    <n v="26651"/>
    <x v="1"/>
    <x v="1"/>
    <n v="80000"/>
    <n v="4"/>
    <x v="4"/>
    <s v="Management"/>
    <s v="Yes"/>
    <n v="0"/>
    <x v="0"/>
    <x v="1"/>
    <x v="4"/>
    <x v="2"/>
    <x v="1"/>
  </r>
  <r>
    <n v="21108"/>
    <x v="0"/>
    <x v="0"/>
    <n v="40000"/>
    <n v="1"/>
    <x v="0"/>
    <s v="Skilled Manual"/>
    <s v="Yes"/>
    <n v="1"/>
    <x v="0"/>
    <x v="0"/>
    <x v="1"/>
    <x v="0"/>
    <x v="1"/>
  </r>
  <r>
    <n v="12731"/>
    <x v="1"/>
    <x v="1"/>
    <n v="30000"/>
    <n v="0"/>
    <x v="2"/>
    <s v="Manual"/>
    <s v="No"/>
    <n v="1"/>
    <x v="3"/>
    <x v="0"/>
    <x v="21"/>
    <x v="2"/>
    <x v="0"/>
  </r>
  <r>
    <n v="25307"/>
    <x v="0"/>
    <x v="0"/>
    <n v="40000"/>
    <n v="1"/>
    <x v="0"/>
    <s v="Skilled Manual"/>
    <s v="Yes"/>
    <n v="1"/>
    <x v="3"/>
    <x v="0"/>
    <x v="21"/>
    <x v="2"/>
    <x v="1"/>
  </r>
  <r>
    <n v="14278"/>
    <x v="0"/>
    <x v="0"/>
    <n v="130000"/>
    <n v="0"/>
    <x v="4"/>
    <s v="Management"/>
    <s v="Yes"/>
    <n v="1"/>
    <x v="4"/>
    <x v="1"/>
    <x v="28"/>
    <x v="0"/>
    <x v="0"/>
  </r>
  <r>
    <n v="20711"/>
    <x v="0"/>
    <x v="0"/>
    <n v="40000"/>
    <n v="1"/>
    <x v="0"/>
    <s v="Skilled Manual"/>
    <s v="Yes"/>
    <n v="0"/>
    <x v="3"/>
    <x v="0"/>
    <x v="21"/>
    <x v="2"/>
    <x v="1"/>
  </r>
  <r>
    <n v="11383"/>
    <x v="0"/>
    <x v="0"/>
    <n v="30000"/>
    <n v="3"/>
    <x v="4"/>
    <s v="Clerical"/>
    <s v="Yes"/>
    <n v="0"/>
    <x v="0"/>
    <x v="0"/>
    <x v="30"/>
    <x v="0"/>
    <x v="0"/>
  </r>
  <r>
    <n v="12497"/>
    <x v="0"/>
    <x v="0"/>
    <n v="40000"/>
    <n v="1"/>
    <x v="0"/>
    <s v="Skilled Manual"/>
    <s v="Yes"/>
    <n v="0"/>
    <x v="0"/>
    <x v="0"/>
    <x v="0"/>
    <x v="0"/>
    <x v="0"/>
  </r>
  <r>
    <n v="16559"/>
    <x v="1"/>
    <x v="0"/>
    <n v="10000"/>
    <n v="2"/>
    <x v="2"/>
    <s v="Manual"/>
    <s v="Yes"/>
    <n v="0"/>
    <x v="0"/>
    <x v="0"/>
    <x v="4"/>
    <x v="2"/>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2"/>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2"/>
    <x v="1"/>
  </r>
  <r>
    <n v="21554"/>
    <x v="1"/>
    <x v="0"/>
    <n v="80000"/>
    <n v="0"/>
    <x v="0"/>
    <s v="Professional"/>
    <s v="No"/>
    <n v="3"/>
    <x v="4"/>
    <x v="1"/>
    <x v="6"/>
    <x v="2"/>
    <x v="0"/>
  </r>
  <r>
    <n v="13662"/>
    <x v="1"/>
    <x v="1"/>
    <n v="20000"/>
    <n v="0"/>
    <x v="3"/>
    <s v="Manual"/>
    <s v="Yes"/>
    <n v="2"/>
    <x v="3"/>
    <x v="0"/>
    <x v="23"/>
    <x v="2"/>
    <x v="1"/>
  </r>
  <r>
    <n v="13089"/>
    <x v="0"/>
    <x v="0"/>
    <n v="120000"/>
    <n v="1"/>
    <x v="0"/>
    <s v="Management"/>
    <s v="Yes"/>
    <n v="2"/>
    <x v="0"/>
    <x v="1"/>
    <x v="30"/>
    <x v="0"/>
    <x v="1"/>
  </r>
  <r>
    <n v="14791"/>
    <x v="0"/>
    <x v="0"/>
    <n v="40000"/>
    <n v="0"/>
    <x v="0"/>
    <s v="Clerical"/>
    <s v="Yes"/>
    <n v="0"/>
    <x v="0"/>
    <x v="0"/>
    <x v="32"/>
    <x v="2"/>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2"/>
    <x v="1"/>
  </r>
  <r>
    <n v="15665"/>
    <x v="0"/>
    <x v="0"/>
    <n v="30000"/>
    <n v="0"/>
    <x v="0"/>
    <s v="Clerical"/>
    <s v="Yes"/>
    <n v="0"/>
    <x v="0"/>
    <x v="0"/>
    <x v="15"/>
    <x v="0"/>
    <x v="1"/>
  </r>
  <r>
    <n v="27585"/>
    <x v="0"/>
    <x v="0"/>
    <n v="90000"/>
    <n v="2"/>
    <x v="0"/>
    <s v="Professional"/>
    <s v="No"/>
    <n v="0"/>
    <x v="0"/>
    <x v="1"/>
    <x v="4"/>
    <x v="2"/>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2"/>
    <x v="1"/>
  </r>
  <r>
    <n v="26984"/>
    <x v="0"/>
    <x v="1"/>
    <n v="40000"/>
    <n v="1"/>
    <x v="0"/>
    <s v="Skilled Manual"/>
    <s v="Yes"/>
    <n v="1"/>
    <x v="0"/>
    <x v="0"/>
    <x v="21"/>
    <x v="2"/>
    <x v="1"/>
  </r>
  <r>
    <n v="18294"/>
    <x v="0"/>
    <x v="0"/>
    <n v="90000"/>
    <n v="1"/>
    <x v="0"/>
    <s v="Professional"/>
    <s v="Yes"/>
    <n v="1"/>
    <x v="2"/>
    <x v="1"/>
    <x v="30"/>
    <x v="0"/>
    <x v="0"/>
  </r>
  <r>
    <n v="28564"/>
    <x v="1"/>
    <x v="0"/>
    <n v="40000"/>
    <n v="2"/>
    <x v="1"/>
    <s v="Clerical"/>
    <s v="Yes"/>
    <n v="0"/>
    <x v="3"/>
    <x v="0"/>
    <x v="6"/>
    <x v="2"/>
    <x v="1"/>
  </r>
  <r>
    <n v="28521"/>
    <x v="1"/>
    <x v="1"/>
    <n v="40000"/>
    <n v="0"/>
    <x v="4"/>
    <s v="Clerical"/>
    <s v="No"/>
    <n v="0"/>
    <x v="0"/>
    <x v="0"/>
    <x v="4"/>
    <x v="2"/>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0"/>
    <x v="0"/>
  </r>
  <r>
    <n v="12821"/>
    <x v="0"/>
    <x v="1"/>
    <n v="40000"/>
    <n v="0"/>
    <x v="0"/>
    <s v="Clerical"/>
    <s v="Yes"/>
    <n v="0"/>
    <x v="0"/>
    <x v="0"/>
    <x v="32"/>
    <x v="2"/>
    <x v="0"/>
  </r>
  <r>
    <n v="15629"/>
    <x v="1"/>
    <x v="0"/>
    <n v="10000"/>
    <n v="0"/>
    <x v="3"/>
    <s v="Manual"/>
    <s v="Yes"/>
    <n v="2"/>
    <x v="3"/>
    <x v="0"/>
    <x v="17"/>
    <x v="2"/>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2"/>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2"/>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2"/>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2"/>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2"/>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2"/>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2"/>
    <x v="1"/>
  </r>
  <r>
    <n v="12195"/>
    <x v="1"/>
    <x v="0"/>
    <n v="70000"/>
    <n v="3"/>
    <x v="4"/>
    <s v="Management"/>
    <s v="Yes"/>
    <n v="2"/>
    <x v="3"/>
    <x v="2"/>
    <x v="31"/>
    <x v="0"/>
    <x v="0"/>
  </r>
  <r>
    <n v="25375"/>
    <x v="0"/>
    <x v="1"/>
    <n v="50000"/>
    <n v="1"/>
    <x v="4"/>
    <s v="Skilled Manual"/>
    <s v="Yes"/>
    <n v="0"/>
    <x v="3"/>
    <x v="2"/>
    <x v="17"/>
    <x v="2"/>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2"/>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2"/>
    <x v="1"/>
  </r>
  <r>
    <n v="13388"/>
    <x v="1"/>
    <x v="1"/>
    <n v="60000"/>
    <n v="2"/>
    <x v="1"/>
    <s v="Professional"/>
    <s v="Yes"/>
    <n v="1"/>
    <x v="4"/>
    <x v="2"/>
    <x v="16"/>
    <x v="0"/>
    <x v="0"/>
  </r>
  <r>
    <n v="18752"/>
    <x v="1"/>
    <x v="0"/>
    <n v="40000"/>
    <n v="0"/>
    <x v="2"/>
    <s v="Skilled Manual"/>
    <s v="Yes"/>
    <n v="1"/>
    <x v="2"/>
    <x v="2"/>
    <x v="23"/>
    <x v="2"/>
    <x v="0"/>
  </r>
  <r>
    <n v="16917"/>
    <x v="0"/>
    <x v="1"/>
    <n v="120000"/>
    <n v="1"/>
    <x v="0"/>
    <s v="Management"/>
    <s v="Yes"/>
    <n v="4"/>
    <x v="0"/>
    <x v="2"/>
    <x v="13"/>
    <x v="2"/>
    <x v="0"/>
  </r>
  <r>
    <n v="15313"/>
    <x v="0"/>
    <x v="1"/>
    <n v="60000"/>
    <n v="4"/>
    <x v="0"/>
    <s v="Management"/>
    <s v="Yes"/>
    <n v="2"/>
    <x v="1"/>
    <x v="2"/>
    <x v="14"/>
    <x v="0"/>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2"/>
    <x v="1"/>
  </r>
  <r>
    <n v="15194"/>
    <x v="1"/>
    <x v="1"/>
    <n v="120000"/>
    <n v="2"/>
    <x v="0"/>
    <s v="Management"/>
    <s v="No"/>
    <n v="3"/>
    <x v="0"/>
    <x v="2"/>
    <x v="32"/>
    <x v="2"/>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2"/>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2"/>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2"/>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2"/>
    <x v="1"/>
  </r>
  <r>
    <n v="23368"/>
    <x v="0"/>
    <x v="0"/>
    <n v="60000"/>
    <n v="5"/>
    <x v="0"/>
    <s v="Skilled Manual"/>
    <s v="Yes"/>
    <n v="3"/>
    <x v="4"/>
    <x v="2"/>
    <x v="3"/>
    <x v="0"/>
    <x v="0"/>
  </r>
  <r>
    <n v="16217"/>
    <x v="1"/>
    <x v="0"/>
    <n v="60000"/>
    <n v="0"/>
    <x v="4"/>
    <s v="Skilled Manual"/>
    <s v="Yes"/>
    <n v="0"/>
    <x v="0"/>
    <x v="2"/>
    <x v="32"/>
    <x v="2"/>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0"/>
    <x v="1"/>
  </r>
  <r>
    <n v="19164"/>
    <x v="1"/>
    <x v="0"/>
    <n v="70000"/>
    <n v="0"/>
    <x v="0"/>
    <s v="Professional"/>
    <s v="No"/>
    <n v="1"/>
    <x v="1"/>
    <x v="2"/>
    <x v="13"/>
    <x v="2"/>
    <x v="1"/>
  </r>
  <r>
    <n v="18435"/>
    <x v="1"/>
    <x v="0"/>
    <n v="70000"/>
    <n v="5"/>
    <x v="4"/>
    <s v="Management"/>
    <s v="Yes"/>
    <n v="2"/>
    <x v="4"/>
    <x v="2"/>
    <x v="41"/>
    <x v="1"/>
    <x v="1"/>
  </r>
  <r>
    <n v="14284"/>
    <x v="1"/>
    <x v="1"/>
    <n v="60000"/>
    <n v="0"/>
    <x v="1"/>
    <s v="Professional"/>
    <s v="No"/>
    <n v="2"/>
    <x v="3"/>
    <x v="2"/>
    <x v="21"/>
    <x v="2"/>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2"/>
    <x v="1"/>
  </r>
  <r>
    <n v="24643"/>
    <x v="1"/>
    <x v="0"/>
    <n v="60000"/>
    <n v="4"/>
    <x v="0"/>
    <s v="Management"/>
    <s v="Yes"/>
    <n v="2"/>
    <x v="4"/>
    <x v="2"/>
    <x v="18"/>
    <x v="1"/>
    <x v="0"/>
  </r>
  <r>
    <n v="21599"/>
    <x v="0"/>
    <x v="0"/>
    <n v="60000"/>
    <n v="1"/>
    <x v="4"/>
    <s v="Professional"/>
    <s v="Yes"/>
    <n v="0"/>
    <x v="1"/>
    <x v="2"/>
    <x v="4"/>
    <x v="2"/>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2"/>
    <x v="1"/>
  </r>
  <r>
    <n v="21260"/>
    <x v="1"/>
    <x v="0"/>
    <n v="40000"/>
    <n v="0"/>
    <x v="2"/>
    <s v="Skilled Manual"/>
    <s v="Yes"/>
    <n v="2"/>
    <x v="2"/>
    <x v="2"/>
    <x v="25"/>
    <x v="2"/>
    <x v="0"/>
  </r>
  <r>
    <n v="11817"/>
    <x v="1"/>
    <x v="0"/>
    <n v="70000"/>
    <n v="4"/>
    <x v="4"/>
    <s v="Professional"/>
    <s v="Yes"/>
    <n v="0"/>
    <x v="1"/>
    <x v="2"/>
    <x v="11"/>
    <x v="2"/>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2"/>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2"/>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2"/>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2"/>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2"/>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2"/>
    <x v="0"/>
  </r>
  <r>
    <n v="16020"/>
    <x v="0"/>
    <x v="1"/>
    <n v="40000"/>
    <n v="0"/>
    <x v="2"/>
    <s v="Skilled Manual"/>
    <s v="Yes"/>
    <n v="2"/>
    <x v="2"/>
    <x v="2"/>
    <x v="26"/>
    <x v="2"/>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2"/>
    <x v="1"/>
  </r>
  <r>
    <n v="26327"/>
    <x v="0"/>
    <x v="1"/>
    <n v="70000"/>
    <n v="4"/>
    <x v="4"/>
    <s v="Professional"/>
    <s v="Yes"/>
    <n v="0"/>
    <x v="1"/>
    <x v="2"/>
    <x v="4"/>
    <x v="2"/>
    <x v="1"/>
  </r>
  <r>
    <n v="26341"/>
    <x v="0"/>
    <x v="0"/>
    <n v="70000"/>
    <n v="5"/>
    <x v="4"/>
    <s v="Professional"/>
    <s v="Yes"/>
    <n v="2"/>
    <x v="0"/>
    <x v="2"/>
    <x v="34"/>
    <x v="2"/>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2"/>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2"/>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2"/>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2"/>
    <x v="1"/>
  </r>
  <r>
    <n v="12882"/>
    <x v="0"/>
    <x v="1"/>
    <n v="50000"/>
    <n v="1"/>
    <x v="4"/>
    <s v="Skilled Manual"/>
    <s v="Yes"/>
    <n v="0"/>
    <x v="0"/>
    <x v="2"/>
    <x v="6"/>
    <x v="2"/>
    <x v="1"/>
  </r>
  <r>
    <n v="25908"/>
    <x v="0"/>
    <x v="0"/>
    <n v="60000"/>
    <n v="0"/>
    <x v="1"/>
    <s v="Skilled Manual"/>
    <s v="No"/>
    <n v="1"/>
    <x v="3"/>
    <x v="2"/>
    <x v="40"/>
    <x v="2"/>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2"/>
    <x v="0"/>
  </r>
  <r>
    <n v="14602"/>
    <x v="0"/>
    <x v="0"/>
    <n v="80000"/>
    <n v="3"/>
    <x v="4"/>
    <s v="Professional"/>
    <s v="Yes"/>
    <n v="0"/>
    <x v="0"/>
    <x v="2"/>
    <x v="4"/>
    <x v="2"/>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2"/>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2"/>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0"/>
    <x v="1"/>
  </r>
  <r>
    <n v="29048"/>
    <x v="1"/>
    <x v="1"/>
    <n v="110000"/>
    <n v="2"/>
    <x v="0"/>
    <s v="Management"/>
    <s v="No"/>
    <n v="3"/>
    <x v="0"/>
    <x v="2"/>
    <x v="34"/>
    <x v="2"/>
    <x v="1"/>
  </r>
  <r>
    <n v="24433"/>
    <x v="0"/>
    <x v="1"/>
    <n v="70000"/>
    <n v="3"/>
    <x v="2"/>
    <s v="Professional"/>
    <s v="No"/>
    <n v="1"/>
    <x v="3"/>
    <x v="2"/>
    <x v="31"/>
    <x v="0"/>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2"/>
    <x v="0"/>
  </r>
  <r>
    <n v="27540"/>
    <x v="1"/>
    <x v="0"/>
    <n v="70000"/>
    <n v="0"/>
    <x v="0"/>
    <s v="Professional"/>
    <s v="No"/>
    <n v="1"/>
    <x v="0"/>
    <x v="2"/>
    <x v="34"/>
    <x v="2"/>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2"/>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2"/>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2"/>
    <x v="1"/>
  </r>
  <r>
    <n v="21613"/>
    <x v="1"/>
    <x v="1"/>
    <n v="50000"/>
    <n v="2"/>
    <x v="0"/>
    <s v="Skilled Manual"/>
    <s v="No"/>
    <n v="1"/>
    <x v="0"/>
    <x v="2"/>
    <x v="32"/>
    <x v="2"/>
    <x v="1"/>
  </r>
  <r>
    <n v="24801"/>
    <x v="1"/>
    <x v="1"/>
    <n v="60000"/>
    <n v="1"/>
    <x v="4"/>
    <s v="Professional"/>
    <s v="Yes"/>
    <n v="0"/>
    <x v="1"/>
    <x v="2"/>
    <x v="11"/>
    <x v="2"/>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2"/>
    <x v="0"/>
  </r>
  <r>
    <n v="13714"/>
    <x v="0"/>
    <x v="0"/>
    <n v="20000"/>
    <n v="2"/>
    <x v="2"/>
    <s v="Manual"/>
    <s v="No"/>
    <n v="2"/>
    <x v="3"/>
    <x v="2"/>
    <x v="39"/>
    <x v="0"/>
    <x v="1"/>
  </r>
  <r>
    <n v="22330"/>
    <x v="0"/>
    <x v="1"/>
    <n v="50000"/>
    <n v="0"/>
    <x v="4"/>
    <s v="Skilled Manual"/>
    <s v="Yes"/>
    <n v="0"/>
    <x v="3"/>
    <x v="2"/>
    <x v="21"/>
    <x v="2"/>
    <x v="1"/>
  </r>
  <r>
    <n v="18783"/>
    <x v="1"/>
    <x v="1"/>
    <n v="80000"/>
    <n v="0"/>
    <x v="0"/>
    <s v="Management"/>
    <s v="No"/>
    <n v="1"/>
    <x v="0"/>
    <x v="2"/>
    <x v="13"/>
    <x v="2"/>
    <x v="1"/>
  </r>
  <r>
    <n v="25041"/>
    <x v="1"/>
    <x v="1"/>
    <n v="40000"/>
    <n v="0"/>
    <x v="2"/>
    <s v="Skilled Manual"/>
    <s v="Yes"/>
    <n v="2"/>
    <x v="2"/>
    <x v="2"/>
    <x v="23"/>
    <x v="2"/>
    <x v="0"/>
  </r>
  <r>
    <n v="22046"/>
    <x v="1"/>
    <x v="0"/>
    <n v="80000"/>
    <n v="0"/>
    <x v="0"/>
    <s v="Management"/>
    <s v="No"/>
    <n v="1"/>
    <x v="0"/>
    <x v="2"/>
    <x v="13"/>
    <x v="2"/>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2"/>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2"/>
    <x v="1"/>
  </r>
  <r>
    <n v="11275"/>
    <x v="0"/>
    <x v="0"/>
    <n v="80000"/>
    <n v="4"/>
    <x v="4"/>
    <s v="Management"/>
    <s v="Yes"/>
    <n v="2"/>
    <x v="0"/>
    <x v="2"/>
    <x v="52"/>
    <x v="1"/>
    <x v="1"/>
  </r>
  <r>
    <n v="14872"/>
    <x v="0"/>
    <x v="1"/>
    <n v="30000"/>
    <n v="0"/>
    <x v="4"/>
    <s v="Skilled Manual"/>
    <s v="Yes"/>
    <n v="0"/>
    <x v="0"/>
    <x v="2"/>
    <x v="21"/>
    <x v="2"/>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0"/>
    <x v="0"/>
  </r>
  <r>
    <n v="27074"/>
    <x v="0"/>
    <x v="0"/>
    <n v="70000"/>
    <n v="1"/>
    <x v="4"/>
    <s v="Skilled Manual"/>
    <s v="Yes"/>
    <n v="0"/>
    <x v="0"/>
    <x v="2"/>
    <x v="11"/>
    <x v="2"/>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2"/>
    <x v="0"/>
  </r>
  <r>
    <n v="13873"/>
    <x v="0"/>
    <x v="1"/>
    <n v="70000"/>
    <n v="3"/>
    <x v="4"/>
    <s v="Professional"/>
    <s v="Yes"/>
    <n v="0"/>
    <x v="0"/>
    <x v="2"/>
    <x v="11"/>
    <x v="2"/>
    <x v="1"/>
  </r>
  <r>
    <n v="20401"/>
    <x v="0"/>
    <x v="0"/>
    <n v="50000"/>
    <n v="4"/>
    <x v="0"/>
    <s v="Management"/>
    <s v="Yes"/>
    <n v="2"/>
    <x v="3"/>
    <x v="2"/>
    <x v="46"/>
    <x v="1"/>
    <x v="1"/>
  </r>
  <r>
    <n v="21583"/>
    <x v="0"/>
    <x v="0"/>
    <n v="50000"/>
    <n v="1"/>
    <x v="0"/>
    <s v="Skilled Manual"/>
    <s v="Yes"/>
    <n v="0"/>
    <x v="0"/>
    <x v="2"/>
    <x v="17"/>
    <x v="2"/>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2"/>
    <x v="1"/>
  </r>
  <r>
    <n v="22050"/>
    <x v="1"/>
    <x v="1"/>
    <n v="90000"/>
    <n v="4"/>
    <x v="0"/>
    <s v="Management"/>
    <s v="Yes"/>
    <n v="1"/>
    <x v="3"/>
    <x v="2"/>
    <x v="13"/>
    <x v="2"/>
    <x v="1"/>
  </r>
  <r>
    <n v="25394"/>
    <x v="0"/>
    <x v="1"/>
    <n v="60000"/>
    <n v="1"/>
    <x v="4"/>
    <s v="Professional"/>
    <s v="Yes"/>
    <n v="0"/>
    <x v="1"/>
    <x v="2"/>
    <x v="17"/>
    <x v="2"/>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2"/>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2"/>
    <x v="0"/>
  </r>
  <r>
    <n v="28657"/>
    <x v="1"/>
    <x v="1"/>
    <n v="60000"/>
    <n v="2"/>
    <x v="0"/>
    <s v="Skilled Manual"/>
    <s v="Yes"/>
    <n v="0"/>
    <x v="1"/>
    <x v="2"/>
    <x v="4"/>
    <x v="2"/>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2"/>
    <x v="1"/>
  </r>
  <r>
    <n v="22719"/>
    <x v="1"/>
    <x v="1"/>
    <n v="110000"/>
    <n v="3"/>
    <x v="0"/>
    <s v="Management"/>
    <s v="Yes"/>
    <n v="4"/>
    <x v="1"/>
    <x v="2"/>
    <x v="8"/>
    <x v="0"/>
    <x v="1"/>
  </r>
  <r>
    <n v="22042"/>
    <x v="0"/>
    <x v="0"/>
    <n v="70000"/>
    <n v="0"/>
    <x v="1"/>
    <s v="Skilled Manual"/>
    <s v="Yes"/>
    <n v="2"/>
    <x v="2"/>
    <x v="2"/>
    <x v="17"/>
    <x v="2"/>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2"/>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2"/>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2"/>
    <x v="0"/>
  </r>
  <r>
    <n v="21587"/>
    <x v="0"/>
    <x v="0"/>
    <n v="60000"/>
    <n v="1"/>
    <x v="4"/>
    <s v="Skilled Manual"/>
    <s v="Yes"/>
    <n v="0"/>
    <x v="1"/>
    <x v="2"/>
    <x v="17"/>
    <x v="2"/>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2"/>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2"/>
    <x v="0"/>
  </r>
  <r>
    <n v="22296"/>
    <x v="0"/>
    <x v="1"/>
    <n v="70000"/>
    <n v="0"/>
    <x v="0"/>
    <s v="Professional"/>
    <s v="No"/>
    <n v="1"/>
    <x v="0"/>
    <x v="2"/>
    <x v="13"/>
    <x v="2"/>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2"/>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0"/>
    <x v="0"/>
  </r>
  <r>
    <n v="18329"/>
    <x v="1"/>
    <x v="1"/>
    <n v="30000"/>
    <n v="0"/>
    <x v="3"/>
    <s v="Clerical"/>
    <s v="No"/>
    <n v="2"/>
    <x v="2"/>
    <x v="2"/>
    <x v="40"/>
    <x v="2"/>
    <x v="0"/>
  </r>
  <r>
    <n v="29037"/>
    <x v="0"/>
    <x v="1"/>
    <n v="60000"/>
    <n v="0"/>
    <x v="4"/>
    <s v="Professional"/>
    <s v="No"/>
    <n v="0"/>
    <x v="0"/>
    <x v="2"/>
    <x v="32"/>
    <x v="2"/>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2"/>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2"/>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6CDFB1-3984-4505-AB74-4BA4D8FFC51B}"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6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72A15-0B73-41C9-BD27-9737E649B38E}"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41"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42F367-6309-41EA-AE5E-BAB1402FD1F7}"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101" series="1">
      <pivotArea type="data" outline="0" fieldPosition="0">
        <references count="2">
          <reference field="4294967294" count="1" selected="0">
            <x v="0"/>
          </reference>
          <reference field="13" count="1" selected="0">
            <x v="0"/>
          </reference>
        </references>
      </pivotArea>
    </chartFormat>
    <chartFormat chart="4" format="10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0EB39EC-A383-4AFE-A725-65D0542E8994}" sourceName="Marital Status">
  <pivotTables>
    <pivotTable tabId="3" name="PivotTable2"/>
    <pivotTable tabId="3" name="PivotTable3"/>
    <pivotTable tabId="3" name="PivotTable4"/>
  </pivotTables>
  <data>
    <tabular pivotCacheId="5112830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8903BD-E927-40B3-811C-48036086988B}" sourceName="Education">
  <pivotTables>
    <pivotTable tabId="3" name="PivotTable2"/>
    <pivotTable tabId="3" name="PivotTable3"/>
    <pivotTable tabId="3" name="PivotTable4"/>
  </pivotTables>
  <data>
    <tabular pivotCacheId="5112830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A455E2-DBDB-4125-9EFB-F00D8EE0A74D}" sourceName="Region">
  <pivotTables>
    <pivotTable tabId="3" name="PivotTable2"/>
    <pivotTable tabId="3" name="PivotTable3"/>
    <pivotTable tabId="3" name="PivotTable4"/>
  </pivotTables>
  <data>
    <tabular pivotCacheId="5112830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770AF0-8D0D-40DA-9C52-F9279F92BE32}" cache="Slicer_Marital_Status" caption="Marital Status" rowHeight="234950"/>
  <slicer name="Education" xr10:uid="{EAB13F6D-0227-43CD-BE94-39FFA824A37D}" cache="Slicer_Education" caption="Education" rowHeight="234950"/>
  <slicer name="Region" xr10:uid="{177A9620-D09F-4BF2-9A7B-46DE512D32B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6" sqref="N1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9AC8-B1FD-42E0-9E8A-3E104A684A41}">
  <dimension ref="A1:N1001"/>
  <sheetViews>
    <sheetView topLeftCell="B1" workbookViewId="0">
      <selection activeCell="M2" sqref="M2:M1001"/>
    </sheetView>
  </sheetViews>
  <sheetFormatPr defaultColWidth="11.88671875" defaultRowHeight="14.4" x14ac:dyDescent="0.3"/>
  <cols>
    <col min="4" max="4" width="11.88671875" style="3"/>
    <col min="13" max="13" width="13.6640625" customWidth="1"/>
    <col min="14" max="14" width="15.44140625" customWidth="1"/>
  </cols>
  <sheetData>
    <row r="1" spans="1:14" x14ac:dyDescent="0.3">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3">
      <c r="A2">
        <v>12496</v>
      </c>
      <c r="B2" t="s">
        <v>36</v>
      </c>
      <c r="C2" t="s">
        <v>38</v>
      </c>
      <c r="D2" s="3">
        <v>40000</v>
      </c>
      <c r="E2">
        <v>1</v>
      </c>
      <c r="F2" t="s">
        <v>13</v>
      </c>
      <c r="G2" t="s">
        <v>14</v>
      </c>
      <c r="H2" t="s">
        <v>15</v>
      </c>
      <c r="I2">
        <v>0</v>
      </c>
      <c r="J2" t="s">
        <v>16</v>
      </c>
      <c r="K2" t="s">
        <v>17</v>
      </c>
      <c r="L2">
        <v>42</v>
      </c>
      <c r="M2" t="str" cm="1">
        <f t="array" ref="M2">_xlfn.IFS(L2&gt;=60, "Senior (60+)", L2&gt;=40, "Middle-Aged (40-59)", L2&gt;=20, "Young Adult (20-39)")</f>
        <v>Middle-Aged (40-59)</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_xlfn.IFS(L3&gt;=60, "Senior (60+)", L3&gt;=40, "Middle-Aged (40-59)", L3&gt;=20, "Young Adult (20-39)")</f>
        <v>Middle-Aged (40-59)</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_xlfn.IFS(L4&gt;=60, "Senior (60+)", L4&gt;=40, "Middle-Aged (40-59)", L4&gt;=20, "Young Adult (20-39)")</f>
        <v>Senior (60+)</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_xlfn.IFS(L5&gt;=60, "Senior (60+)", L5&gt;=40, "Middle-Aged (40-59)", L5&gt;=20, "Young Adult (20-39)")</f>
        <v>Middle-Aged (40-59)</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_xlfn.IFS(L6&gt;=60, "Senior (60+)", L6&gt;=40, "Middle-Aged (40-59)", L6&gt;=20, "Young Adult (20-39)")</f>
        <v>Young Adult (20-39)</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_xlfn.IFS(L7&gt;=60, "Senior (60+)", L7&gt;=40, "Middle-Aged (40-59)", L7&gt;=20, "Young Adult (20-39)")</f>
        <v>Middle-Aged (40-59)</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_xlfn.IFS(L8&gt;=60, "Senior (60+)", L8&gt;=40, "Middle-Aged (40-59)", L8&gt;=20, "Young Adult (20-39)")</f>
        <v>Young Adult (20-39)</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_xlfn.IFS(L9&gt;=60, "Senior (60+)", L9&gt;=40, "Middle-Aged (40-59)", L9&gt;=20, "Young Adult (20-39)")</f>
        <v>Middle-Aged (40-59)</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_xlfn.IFS(L10&gt;=60, "Senior (60+)", L10&gt;=40, "Middle-Aged (40-59)", L10&gt;=20, "Young Adult (20-39)")</f>
        <v>Middle-Aged (40-59)</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_xlfn.IFS(L11&gt;=60, "Senior (60+)", L11&gt;=40, "Middle-Aged (40-59)", L11&gt;=20, "Young Adult (20-39)")</f>
        <v>Middle-Aged (40-59)</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_xlfn.IFS(L12&gt;=60, "Senior (60+)", L12&gt;=40, "Middle-Aged (40-59)", L12&gt;=20, "Young Adult (20-39)")</f>
        <v>Middle-Aged (40-59)</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_xlfn.IFS(L13&gt;=60, "Senior (60+)", L13&gt;=40, "Middle-Aged (40-59)", L13&gt;=20, "Young Adult (20-39)")</f>
        <v>Young Adult (20-39)</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_xlfn.IFS(L14&gt;=60, "Senior (60+)", L14&gt;=40, "Middle-Aged (40-59)", L14&gt;=20, "Young Adult (20-39)")</f>
        <v>Middle-Aged (40-59)</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_xlfn.IFS(L15&gt;=60, "Senior (60+)", L15&gt;=40, "Middle-Aged (40-59)", L15&gt;=20, "Young Adult (20-39)")</f>
        <v>Young Adult (20-39)</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_xlfn.IFS(L16&gt;=60, "Senior (60+)", L16&gt;=40, "Middle-Aged (40-59)", L16&gt;=20, "Young Adult (20-39)")</f>
        <v>Middle-Aged (40-59)</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_xlfn.IFS(L17&gt;=60, "Senior (60+)", L17&gt;=40, "Middle-Aged (40-59)", L17&gt;=20, "Young Adult (20-39)")</f>
        <v>Young Adult (20-39)</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_xlfn.IFS(L18&gt;=60, "Senior (60+)", L18&gt;=40, "Middle-Aged (40-59)", L18&gt;=20, "Young Adult (20-39)")</f>
        <v>Middle-Aged (40-59)</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_xlfn.IFS(L19&gt;=60, "Senior (60+)", L19&gt;=40, "Middle-Aged (40-59)", L19&gt;=20, "Young Adult (20-39)")</f>
        <v>Middle-Aged (40-59)</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_xlfn.IFS(L20&gt;=60, "Senior (60+)", L20&gt;=40, "Middle-Aged (40-59)", L20&gt;=20, "Young Adult (20-39)")</f>
        <v>Young Adult (20-39)</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_xlfn.IFS(L21&gt;=60, "Senior (60+)", L21&gt;=40, "Middle-Aged (40-59)", L21&gt;=20, "Young Adult (20-39)")</f>
        <v>Middle-Aged (40-59)</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_xlfn.IFS(L22&gt;=60, "Senior (60+)", L22&gt;=40, "Middle-Aged (40-59)", L22&gt;=20, "Young Adult (20-39)")</f>
        <v>Young Adult (20-39)</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_xlfn.IFS(L23&gt;=60, "Senior (60+)", L23&gt;=40, "Middle-Aged (40-59)", L23&gt;=20, "Young Adult (20-39)")</f>
        <v>Young Adult (20-39)</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_xlfn.IFS(L24&gt;=60, "Senior (60+)", L24&gt;=40, "Middle-Aged (40-59)", L24&gt;=20, "Young Adult (20-39)")</f>
        <v>Young Adult (20-39)</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_xlfn.IFS(L25&gt;=60, "Senior (60+)", L25&gt;=40, "Middle-Aged (40-59)", L25&gt;=20, "Young Adult (20-39)")</f>
        <v>Middle-Aged (40-59)</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_xlfn.IFS(L26&gt;=60, "Senior (60+)", L26&gt;=40, "Middle-Aged (40-59)", L26&gt;=20, "Young Adult (20-39)")</f>
        <v>Young Adult (20-39)</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_xlfn.IFS(L27&gt;=60, "Senior (60+)", L27&gt;=40, "Middle-Aged (40-59)", L27&gt;=20, "Young Adult (20-39)")</f>
        <v>Senior (60+)</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_xlfn.IFS(L28&gt;=60, "Senior (60+)", L28&gt;=40, "Middle-Aged (40-59)", L28&gt;=20, "Young Adult (20-39)")</f>
        <v>Young Adult (20-39)</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_xlfn.IFS(L29&gt;=60, "Senior (60+)", L29&gt;=40, "Middle-Aged (40-59)", L29&gt;=20, "Young Adult (20-39)")</f>
        <v>Middle-Aged (40-59)</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_xlfn.IFS(L30&gt;=60, "Senior (60+)", L30&gt;=40, "Middle-Aged (40-59)", L30&gt;=20, "Young Adult (20-39)")</f>
        <v>Middle-Aged (40-59)</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_xlfn.IFS(L31&gt;=60, "Senior (60+)", L31&gt;=40, "Middle-Aged (40-59)", L31&gt;=20, "Young Adult (20-39)")</f>
        <v>Young Adult (20-39)</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_xlfn.IFS(L32&gt;=60, "Senior (60+)", L32&gt;=40, "Middle-Aged (40-59)", L32&gt;=20, "Young Adult (20-39)")</f>
        <v>Senior (60+)</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_xlfn.IFS(L33&gt;=60, "Senior (60+)", L33&gt;=40, "Middle-Aged (40-59)", L33&gt;=20, "Young Adult (20-39)")</f>
        <v>Young Adult (20-39)</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_xlfn.IFS(L34&gt;=60, "Senior (60+)", L34&gt;=40, "Middle-Aged (40-59)", L34&gt;=20, "Young Adult (20-39)")</f>
        <v>Young Adult (20-39)</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_xlfn.IFS(L35&gt;=60, "Senior (60+)", L35&gt;=40, "Middle-Aged (40-59)", L35&gt;=20, "Young Adult (20-39)")</f>
        <v>Middle-Aged (40-59)</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_xlfn.IFS(L36&gt;=60, "Senior (60+)", L36&gt;=40, "Middle-Aged (40-59)", L36&gt;=20, "Young Adult (20-39)")</f>
        <v>Senior (60+)</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_xlfn.IFS(L37&gt;=60, "Senior (60+)", L37&gt;=40, "Middle-Aged (40-59)", L37&gt;=20, "Young Adult (20-39)")</f>
        <v>Middle-Aged (40-59)</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_xlfn.IFS(L38&gt;=60, "Senior (60+)", L38&gt;=40, "Middle-Aged (40-59)", L38&gt;=20, "Young Adult (20-39)")</f>
        <v>Middle-Aged (40-59)</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_xlfn.IFS(L39&gt;=60, "Senior (60+)", L39&gt;=40, "Middle-Aged (40-59)", L39&gt;=20, "Young Adult (20-39)")</f>
        <v>Young Adult (20-39)</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_xlfn.IFS(L40&gt;=60, "Senior (60+)", L40&gt;=40, "Middle-Aged (40-59)", L40&gt;=20, "Young Adult (20-39)")</f>
        <v>Young Adult (20-39)</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_xlfn.IFS(L41&gt;=60, "Senior (60+)", L41&gt;=40, "Middle-Aged (40-59)", L41&gt;=20, "Young Adult (20-39)")</f>
        <v>Middle-Aged (40-59)</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_xlfn.IFS(L42&gt;=60, "Senior (60+)", L42&gt;=40, "Middle-Aged (40-59)", L42&gt;=20, "Young Adult (20-39)")</f>
        <v>Middle-Aged (40-59)</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_xlfn.IFS(L43&gt;=60, "Senior (60+)", L43&gt;=40, "Middle-Aged (40-59)", L43&gt;=20, "Young Adult (20-39)")</f>
        <v>Senior (60+)</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_xlfn.IFS(L44&gt;=60, "Senior (60+)", L44&gt;=40, "Middle-Aged (40-59)", L44&gt;=20, "Young Adult (20-39)")</f>
        <v>Middle-Aged (40-59)</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_xlfn.IFS(L45&gt;=60, "Senior (60+)", L45&gt;=40, "Middle-Aged (40-59)", L45&gt;=20, "Young Adult (20-39)")</f>
        <v>Middle-Aged (40-59)</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_xlfn.IFS(L46&gt;=60, "Senior (60+)", L46&gt;=40, "Middle-Aged (40-59)", L46&gt;=20, "Young Adult (20-39)")</f>
        <v>Middle-Aged (40-59)</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_xlfn.IFS(L47&gt;=60, "Senior (60+)", L47&gt;=40, "Middle-Aged (40-59)", L47&gt;=20, "Young Adult (20-39)")</f>
        <v>Senior (60+)</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_xlfn.IFS(L48&gt;=60, "Senior (60+)", L48&gt;=40, "Middle-Aged (40-59)", L48&gt;=20, "Young Adult (20-39)")</f>
        <v>Middle-Aged (40-59)</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_xlfn.IFS(L49&gt;=60, "Senior (60+)", L49&gt;=40, "Middle-Aged (40-59)", L49&gt;=20, "Young Adult (20-39)")</f>
        <v>Middle-Aged (40-59)</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_xlfn.IFS(L50&gt;=60, "Senior (60+)", L50&gt;=40, "Middle-Aged (40-59)", L50&gt;=20, "Young Adult (20-39)")</f>
        <v>Middle-Aged (40-59)</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_xlfn.IFS(L51&gt;=60, "Senior (60+)", L51&gt;=40, "Middle-Aged (40-59)", L51&gt;=20, "Young Adult (20-39)")</f>
        <v>Young Adult (20-39)</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_xlfn.IFS(L52&gt;=60, "Senior (60+)", L52&gt;=40, "Middle-Aged (40-59)", L52&gt;=20, "Young Adult (20-39)")</f>
        <v>Young Adult (20-39)</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_xlfn.IFS(L53&gt;=60, "Senior (60+)", L53&gt;=40, "Middle-Aged (40-59)", L53&gt;=20, "Young Adult (20-39)")</f>
        <v>Young Adult (20-39)</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_xlfn.IFS(L54&gt;=60, "Senior (60+)", L54&gt;=40, "Middle-Aged (40-59)", L54&gt;=20, "Young Adult (20-39)")</f>
        <v>Senior (60+)</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_xlfn.IFS(L55&gt;=60, "Senior (60+)", L55&gt;=40, "Middle-Aged (40-59)", L55&gt;=20, "Young Adult (20-39)")</f>
        <v>Middle-Aged (40-59)</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_xlfn.IFS(L56&gt;=60, "Senior (60+)", L56&gt;=40, "Middle-Aged (40-59)", L56&gt;=20, "Young Adult (20-39)")</f>
        <v>Middle-Aged (40-59)</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_xlfn.IFS(L57&gt;=60, "Senior (60+)", L57&gt;=40, "Middle-Aged (40-59)", L57&gt;=20, "Young Adult (20-39)")</f>
        <v>Middle-Aged (40-59)</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_xlfn.IFS(L58&gt;=60, "Senior (60+)", L58&gt;=40, "Middle-Aged (40-59)", L58&gt;=20, "Young Adult (20-39)")</f>
        <v>Young Adult (20-39)</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_xlfn.IFS(L59&gt;=60, "Senior (60+)", L59&gt;=40, "Middle-Aged (40-59)", L59&gt;=20, "Young Adult (20-39)")</f>
        <v>Senior (60+)</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_xlfn.IFS(L60&gt;=60, "Senior (60+)", L60&gt;=40, "Middle-Aged (40-59)", L60&gt;=20, "Young Adult (20-39)")</f>
        <v>Middle-Aged (40-59)</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_xlfn.IFS(L61&gt;=60, "Senior (60+)", L61&gt;=40, "Middle-Aged (40-59)", L61&gt;=20, "Young Adult (20-39)")</f>
        <v>Young Adult (20-39)</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_xlfn.IFS(L62&gt;=60, "Senior (60+)", L62&gt;=40, "Middle-Aged (40-59)", L62&gt;=20, "Young Adult (20-39)")</f>
        <v>Middle-Aged (40-59)</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_xlfn.IFS(L63&gt;=60, "Senior (60+)", L63&gt;=40, "Middle-Aged (40-59)", L63&gt;=20, "Young Adult (20-39)")</f>
        <v>Young Adult (20-39)</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_xlfn.IFS(L64&gt;=60, "Senior (60+)", L64&gt;=40, "Middle-Aged (40-59)", L64&gt;=20, "Young Adult (20-39)")</f>
        <v>Middle-Aged (40-59)</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_xlfn.IFS(L65&gt;=60, "Senior (60+)", L65&gt;=40, "Middle-Aged (40-59)", L65&gt;=20, "Young Adult (20-39)")</f>
        <v>Middle-Aged (40-59)</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_xlfn.IFS(L66&gt;=60, "Senior (60+)", L66&gt;=40, "Middle-Aged (40-59)", L66&gt;=20, "Young Adult (20-39)")</f>
        <v>Young Adult (20-39)</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_xlfn.IFS(L67&gt;=60, "Senior (60+)", L67&gt;=40, "Middle-Aged (40-59)", L67&gt;=20, "Young Adult (20-39)")</f>
        <v>Senior (60+)</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_xlfn.IFS(L68&gt;=60, "Senior (60+)", L68&gt;=40, "Middle-Aged (40-59)", L68&gt;=20, "Young Adult (20-39)")</f>
        <v>Young Adult (20-39)</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_xlfn.IFS(L69&gt;=60, "Senior (60+)", L69&gt;=40, "Middle-Aged (40-59)", L69&gt;=20, "Young Adult (20-39)")</f>
        <v>Young Adult (20-39)</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_xlfn.IFS(L70&gt;=60, "Senior (60+)", L70&gt;=40, "Middle-Aged (40-59)", L70&gt;=20, "Young Adult (20-39)")</f>
        <v>Middle-Aged (40-59)</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_xlfn.IFS(L71&gt;=60, "Senior (60+)", L71&gt;=40, "Middle-Aged (40-59)", L71&gt;=20, "Young Adult (20-39)")</f>
        <v>Young Adult (20-39)</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_xlfn.IFS(L72&gt;=60, "Senior (60+)", L72&gt;=40, "Middle-Aged (40-59)", L72&gt;=20, "Young Adult (20-39)")</f>
        <v>Young Adult (20-39)</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_xlfn.IFS(L73&gt;=60, "Senior (60+)", L73&gt;=40, "Middle-Aged (40-59)", L73&gt;=20, "Young Adult (20-39)")</f>
        <v>Young Adult (20-39)</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_xlfn.IFS(L74&gt;=60, "Senior (60+)", L74&gt;=40, "Middle-Aged (40-59)", L74&gt;=20, "Young Adult (20-39)")</f>
        <v>Middle-Aged (40-59)</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_xlfn.IFS(L75&gt;=60, "Senior (60+)", L75&gt;=40, "Middle-Aged (40-59)", L75&gt;=20, "Young Adult (20-39)")</f>
        <v>Young Adult (20-39)</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_xlfn.IFS(L76&gt;=60, "Senior (60+)", L76&gt;=40, "Middle-Aged (40-59)", L76&gt;=20, "Young Adult (20-39)")</f>
        <v>Senior (60+)</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_xlfn.IFS(L77&gt;=60, "Senior (60+)", L77&gt;=40, "Middle-Aged (40-59)", L77&gt;=20, "Young Adult (20-39)")</f>
        <v>Young Adult (20-39)</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_xlfn.IFS(L78&gt;=60, "Senior (60+)", L78&gt;=40, "Middle-Aged (40-59)", L78&gt;=20, "Young Adult (20-39)")</f>
        <v>Young Adult (20-39)</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_xlfn.IFS(L79&gt;=60, "Senior (60+)", L79&gt;=40, "Middle-Aged (40-59)", L79&gt;=20, "Young Adult (20-39)")</f>
        <v>Young Adult (20-39)</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_xlfn.IFS(L80&gt;=60, "Senior (60+)", L80&gt;=40, "Middle-Aged (40-59)", L80&gt;=20, "Young Adult (20-39)")</f>
        <v>Middle-Aged (40-59)</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_xlfn.IFS(L81&gt;=60, "Senior (60+)", L81&gt;=40, "Middle-Aged (40-59)", L81&gt;=20, "Young Adult (20-39)")</f>
        <v>Senior (60+)</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_xlfn.IFS(L82&gt;=60, "Senior (60+)", L82&gt;=40, "Middle-Aged (40-59)", L82&gt;=20, "Young Adult (20-39)")</f>
        <v>Middle-Aged (40-59)</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_xlfn.IFS(L83&gt;=60, "Senior (60+)", L83&gt;=40, "Middle-Aged (40-59)", L83&gt;=20, "Young Adult (20-39)")</f>
        <v>Middle-Aged (40-59)</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_xlfn.IFS(L84&gt;=60, "Senior (60+)", L84&gt;=40, "Middle-Aged (40-59)", L84&gt;=20, "Young Adult (20-39)")</f>
        <v>Middle-Aged (40-59)</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_xlfn.IFS(L85&gt;=60, "Senior (60+)", L85&gt;=40, "Middle-Aged (40-59)", L85&gt;=20, "Young Adult (20-39)")</f>
        <v>Young Adult (20-39)</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_xlfn.IFS(L86&gt;=60, "Senior (60+)", L86&gt;=40, "Middle-Aged (40-59)", L86&gt;=20, "Young Adult (20-39)")</f>
        <v>Middle-Aged (40-59)</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_xlfn.IFS(L87&gt;=60, "Senior (60+)", L87&gt;=40, "Middle-Aged (40-59)", L87&gt;=20, "Young Adult (20-39)")</f>
        <v>Young Adult (20-39)</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_xlfn.IFS(L88&gt;=60, "Senior (60+)", L88&gt;=40, "Middle-Aged (40-59)", L88&gt;=20, "Young Adult (20-39)")</f>
        <v>Middle-Aged (40-59)</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_xlfn.IFS(L89&gt;=60, "Senior (60+)", L89&gt;=40, "Middle-Aged (40-59)", L89&gt;=20, "Young Adult (20-39)")</f>
        <v>Middle-Aged (40-59)</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_xlfn.IFS(L90&gt;=60, "Senior (60+)", L90&gt;=40, "Middle-Aged (40-59)", L90&gt;=20, "Young Adult (20-39)")</f>
        <v>Young Adult (20-39)</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_xlfn.IFS(L91&gt;=60, "Senior (60+)", L91&gt;=40, "Middle-Aged (40-59)", L91&gt;=20, "Young Adult (20-39)")</f>
        <v>Middle-Aged (40-59)</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_xlfn.IFS(L92&gt;=60, "Senior (60+)", L92&gt;=40, "Middle-Aged (40-59)", L92&gt;=20, "Young Adult (20-39)")</f>
        <v>Young Adult (20-39)</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_xlfn.IFS(L93&gt;=60, "Senior (60+)", L93&gt;=40, "Middle-Aged (40-59)", L93&gt;=20, "Young Adult (20-39)")</f>
        <v>Young Adult (20-39)</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_xlfn.IFS(L94&gt;=60, "Senior (60+)", L94&gt;=40, "Middle-Aged (40-59)", L94&gt;=20, "Young Adult (20-39)")</f>
        <v>Young Adult (20-39)</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_xlfn.IFS(L95&gt;=60, "Senior (60+)", L95&gt;=40, "Middle-Aged (40-59)", L95&gt;=20, "Young Adult (20-39)")</f>
        <v>Young Adult (20-39)</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_xlfn.IFS(L96&gt;=60, "Senior (60+)", L96&gt;=40, "Middle-Aged (40-59)", L96&gt;=20, "Young Adult (20-39)")</f>
        <v>Middle-Aged (40-59)</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_xlfn.IFS(L97&gt;=60, "Senior (60+)", L97&gt;=40, "Middle-Aged (40-59)", L97&gt;=20, "Young Adult (20-39)")</f>
        <v>Senior (60+)</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_xlfn.IFS(L98&gt;=60, "Senior (60+)", L98&gt;=40, "Middle-Aged (40-59)", L98&gt;=20, "Young Adult (20-39)")</f>
        <v>Middle-Aged (40-59)</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_xlfn.IFS(L99&gt;=60, "Senior (60+)", L99&gt;=40, "Middle-Aged (40-59)", L99&gt;=20, "Young Adult (20-39)")</f>
        <v>Middle-Aged (40-59)</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_xlfn.IFS(L100&gt;=60, "Senior (60+)", L100&gt;=40, "Middle-Aged (40-59)", L100&gt;=20, "Young Adult (20-39)")</f>
        <v>Young Adult (20-39)</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_xlfn.IFS(L101&gt;=60, "Senior (60+)", L101&gt;=40, "Middle-Aged (40-59)", L101&gt;=20, "Young Adult (20-39)")</f>
        <v>Middle-Aged (40-59)</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_xlfn.IFS(L102&gt;=60, "Senior (60+)", L102&gt;=40, "Middle-Aged (40-59)", L102&gt;=20, "Young Adult (20-39)")</f>
        <v>Young Adult (20-39)</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_xlfn.IFS(L103&gt;=60, "Senior (60+)", L103&gt;=40, "Middle-Aged (40-59)", L103&gt;=20, "Young Adult (20-39)")</f>
        <v>Middle-Aged (40-59)</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_xlfn.IFS(L104&gt;=60, "Senior (60+)", L104&gt;=40, "Middle-Aged (40-59)", L104&gt;=20, "Young Adult (20-39)")</f>
        <v>Middle-Aged (40-59)</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_xlfn.IFS(L105&gt;=60, "Senior (60+)", L105&gt;=40, "Middle-Aged (40-59)", L105&gt;=20, "Young Adult (20-39)")</f>
        <v>Middle-Aged (40-59)</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_xlfn.IFS(L106&gt;=60, "Senior (60+)", L106&gt;=40, "Middle-Aged (40-59)", L106&gt;=20, "Young Adult (20-39)")</f>
        <v>Middle-Aged (40-59)</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_xlfn.IFS(L107&gt;=60, "Senior (60+)", L107&gt;=40, "Middle-Aged (40-59)", L107&gt;=20, "Young Adult (20-39)")</f>
        <v>Young Adult (20-39)</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_xlfn.IFS(L108&gt;=60, "Senior (60+)", L108&gt;=40, "Middle-Aged (40-59)", L108&gt;=20, "Young Adult (20-39)")</f>
        <v>Middle-Aged (40-59)</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_xlfn.IFS(L109&gt;=60, "Senior (60+)", L109&gt;=40, "Middle-Aged (40-59)", L109&gt;=20, "Young Adult (20-39)")</f>
        <v>Middle-Aged (40-59)</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_xlfn.IFS(L110&gt;=60, "Senior (60+)", L110&gt;=40, "Middle-Aged (40-59)", L110&gt;=20, "Young Adult (20-39)")</f>
        <v>Young Adult (20-39)</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_xlfn.IFS(L111&gt;=60, "Senior (60+)", L111&gt;=40, "Middle-Aged (40-59)", L111&gt;=20, "Young Adult (20-39)")</f>
        <v>Young Adult (20-39)</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_xlfn.IFS(L112&gt;=60, "Senior (60+)", L112&gt;=40, "Middle-Aged (40-59)", L112&gt;=20, "Young Adult (20-39)")</f>
        <v>Middle-Aged (40-59)</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_xlfn.IFS(L113&gt;=60, "Senior (60+)", L113&gt;=40, "Middle-Aged (40-59)", L113&gt;=20, "Young Adult (20-39)")</f>
        <v>Young Adult (20-39)</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_xlfn.IFS(L114&gt;=60, "Senior (60+)", L114&gt;=40, "Middle-Aged (40-59)", L114&gt;=20, "Young Adult (20-39)")</f>
        <v>Young Adult (20-39)</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_xlfn.IFS(L115&gt;=60, "Senior (60+)", L115&gt;=40, "Middle-Aged (40-59)", L115&gt;=20, "Young Adult (20-39)")</f>
        <v>Young Adult (20-39)</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_xlfn.IFS(L116&gt;=60, "Senior (60+)", L116&gt;=40, "Middle-Aged (40-59)", L116&gt;=20, "Young Adult (20-39)")</f>
        <v>Young Adult (20-39)</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_xlfn.IFS(L117&gt;=60, "Senior (60+)", L117&gt;=40, "Middle-Aged (40-59)", L117&gt;=20, "Young Adult (20-39)")</f>
        <v>Young Adult (20-39)</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_xlfn.IFS(L118&gt;=60, "Senior (60+)", L118&gt;=40, "Middle-Aged (40-59)", L118&gt;=20, "Young Adult (20-39)")</f>
        <v>Middle-Aged (40-59)</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_xlfn.IFS(L119&gt;=60, "Senior (60+)", L119&gt;=40, "Middle-Aged (40-59)", L119&gt;=20, "Young Adult (20-39)")</f>
        <v>Middle-Aged (40-59)</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_xlfn.IFS(L120&gt;=60, "Senior (60+)", L120&gt;=40, "Middle-Aged (40-59)", L120&gt;=20, "Young Adult (20-39)")</f>
        <v>Senior (60+)</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_xlfn.IFS(L121&gt;=60, "Senior (60+)", L121&gt;=40, "Middle-Aged (40-59)", L121&gt;=20, "Young Adult (20-39)")</f>
        <v>Young Adult (20-39)</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_xlfn.IFS(L122&gt;=60, "Senior (60+)", L122&gt;=40, "Middle-Aged (40-59)", L122&gt;=20, "Young Adult (20-39)")</f>
        <v>Senior (60+)</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_xlfn.IFS(L123&gt;=60, "Senior (60+)", L123&gt;=40, "Middle-Aged (40-59)", L123&gt;=20, "Young Adult (20-39)")</f>
        <v>Middle-Aged (40-59)</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_xlfn.IFS(L124&gt;=60, "Senior (60+)", L124&gt;=40, "Middle-Aged (40-59)", L124&gt;=20, "Young Adult (20-39)")</f>
        <v>Young Adult (20-39)</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_xlfn.IFS(L125&gt;=60, "Senior (60+)", L125&gt;=40, "Middle-Aged (40-59)", L125&gt;=20, "Young Adult (20-39)")</f>
        <v>Middle-Aged (40-59)</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_xlfn.IFS(L126&gt;=60, "Senior (60+)", L126&gt;=40, "Middle-Aged (40-59)", L126&gt;=20, "Young Adult (20-39)")</f>
        <v>Young Adult (20-39)</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_xlfn.IFS(L127&gt;=60, "Senior (60+)", L127&gt;=40, "Middle-Aged (40-59)", L127&gt;=20, "Young Adult (20-39)")</f>
        <v>Middle-Aged (40-59)</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_xlfn.IFS(L128&gt;=60, "Senior (60+)", L128&gt;=40, "Middle-Aged (40-59)", L128&gt;=20, "Young Adult (20-39)")</f>
        <v>Young Adult (20-39)</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_xlfn.IFS(L129&gt;=60, "Senior (60+)", L129&gt;=40, "Middle-Aged (40-59)", L129&gt;=20, "Young Adult (20-39)")</f>
        <v>Young Adult (20-39)</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_xlfn.IFS(L130&gt;=60, "Senior (60+)", L130&gt;=40, "Middle-Aged (40-59)", L130&gt;=20, "Young Adult (20-39)")</f>
        <v>Middle-Aged (40-59)</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_xlfn.IFS(L131&gt;=60, "Senior (60+)", L131&gt;=40, "Middle-Aged (40-59)", L131&gt;=20, "Young Adult (20-39)")</f>
        <v>Young Adult (20-39)</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_xlfn.IFS(L132&gt;=60, "Senior (60+)", L132&gt;=40, "Middle-Aged (40-59)", L132&gt;=20, "Young Adult (20-39)")</f>
        <v>Young Adult (20-39)</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_xlfn.IFS(L133&gt;=60, "Senior (60+)", L133&gt;=40, "Middle-Aged (40-59)", L133&gt;=20, "Young Adult (20-39)")</f>
        <v>Middle-Aged (40-59)</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_xlfn.IFS(L134&gt;=60, "Senior (60+)", L134&gt;=40, "Middle-Aged (40-59)", L134&gt;=20, "Young Adult (20-39)")</f>
        <v>Middle-Aged (40-59)</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_xlfn.IFS(L135&gt;=60, "Senior (60+)", L135&gt;=40, "Middle-Aged (40-59)", L135&gt;=20, "Young Adult (20-39)")</f>
        <v>Senior (60+)</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_xlfn.IFS(L136&gt;=60, "Senior (60+)", L136&gt;=40, "Middle-Aged (40-59)", L136&gt;=20, "Young Adult (20-39)")</f>
        <v>Middle-Aged (40-59)</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_xlfn.IFS(L137&gt;=60, "Senior (60+)", L137&gt;=40, "Middle-Aged (40-59)", L137&gt;=20, "Young Adult (20-39)")</f>
        <v>Middle-Aged (40-59)</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_xlfn.IFS(L138&gt;=60, "Senior (60+)", L138&gt;=40, "Middle-Aged (40-59)", L138&gt;=20, "Young Adult (20-39)")</f>
        <v>Young Adult (20-39)</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_xlfn.IFS(L139&gt;=60, "Senior (60+)", L139&gt;=40, "Middle-Aged (40-59)", L139&gt;=20, "Young Adult (20-39)")</f>
        <v>Middle-Aged (40-59)</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_xlfn.IFS(L140&gt;=60, "Senior (60+)", L140&gt;=40, "Middle-Aged (40-59)", L140&gt;=20, "Young Adult (20-39)")</f>
        <v>Middle-Aged (40-59)</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_xlfn.IFS(L141&gt;=60, "Senior (60+)", L141&gt;=40, "Middle-Aged (40-59)", L141&gt;=20, "Young Adult (20-39)")</f>
        <v>Senior (60+)</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_xlfn.IFS(L142&gt;=60, "Senior (60+)", L142&gt;=40, "Middle-Aged (40-59)", L142&gt;=20, "Young Adult (20-39)")</f>
        <v>Middle-Aged (40-59)</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_xlfn.IFS(L143&gt;=60, "Senior (60+)", L143&gt;=40, "Middle-Aged (40-59)", L143&gt;=20, "Young Adult (20-39)")</f>
        <v>Young Adult (20-39)</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_xlfn.IFS(L144&gt;=60, "Senior (60+)", L144&gt;=40, "Middle-Aged (40-59)", L144&gt;=20, "Young Adult (20-39)")</f>
        <v>Middle-Aged (40-59)</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_xlfn.IFS(L145&gt;=60, "Senior (60+)", L145&gt;=40, "Middle-Aged (40-59)", L145&gt;=20, "Young Adult (20-39)")</f>
        <v>Young Adult (20-39)</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_xlfn.IFS(L146&gt;=60, "Senior (60+)", L146&gt;=40, "Middle-Aged (40-59)", L146&gt;=20, "Young Adult (20-39)")</f>
        <v>Young Adult (20-39)</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_xlfn.IFS(L147&gt;=60, "Senior (60+)", L147&gt;=40, "Middle-Aged (40-59)", L147&gt;=20, "Young Adult (20-39)")</f>
        <v>Young Adult (20-39)</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_xlfn.IFS(L148&gt;=60, "Senior (60+)", L148&gt;=40, "Middle-Aged (40-59)", L148&gt;=20, "Young Adult (20-39)")</f>
        <v>Young Adult (20-39)</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_xlfn.IFS(L149&gt;=60, "Senior (60+)", L149&gt;=40, "Middle-Aged (40-59)", L149&gt;=20, "Young Adult (20-39)")</f>
        <v>Middle-Aged (40-59)</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_xlfn.IFS(L150&gt;=60, "Senior (60+)", L150&gt;=40, "Middle-Aged (40-59)", L150&gt;=20, "Young Adult (20-39)")</f>
        <v>Senior (60+)</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_xlfn.IFS(L151&gt;=60, "Senior (60+)", L151&gt;=40, "Middle-Aged (40-59)", L151&gt;=20, "Young Adult (20-39)")</f>
        <v>Young Adult (20-39)</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_xlfn.IFS(L152&gt;=60, "Senior (60+)", L152&gt;=40, "Middle-Aged (40-59)", L152&gt;=20, "Young Adult (20-39)")</f>
        <v>Middle-Aged (40-59)</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_xlfn.IFS(L153&gt;=60, "Senior (60+)", L153&gt;=40, "Middle-Aged (40-59)", L153&gt;=20, "Young Adult (20-39)")</f>
        <v>Middle-Aged (40-59)</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_xlfn.IFS(L154&gt;=60, "Senior (60+)", L154&gt;=40, "Middle-Aged (40-59)", L154&gt;=20, "Young Adult (20-39)")</f>
        <v>Young Adult (20-39)</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_xlfn.IFS(L155&gt;=60, "Senior (60+)", L155&gt;=40, "Middle-Aged (40-59)", L155&gt;=20, "Young Adult (20-39)")</f>
        <v>Middle-Aged (40-59)</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_xlfn.IFS(L156&gt;=60, "Senior (60+)", L156&gt;=40, "Middle-Aged (40-59)", L156&gt;=20, "Young Adult (20-39)")</f>
        <v>Middle-Aged (40-59)</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_xlfn.IFS(L157&gt;=60, "Senior (60+)", L157&gt;=40, "Middle-Aged (40-59)", L157&gt;=20, "Young Adult (20-39)")</f>
        <v>Middle-Aged (40-59)</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_xlfn.IFS(L158&gt;=60, "Senior (60+)", L158&gt;=40, "Middle-Aged (40-59)", L158&gt;=20, "Young Adult (20-39)")</f>
        <v>Middle-Aged (40-59)</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_xlfn.IFS(L159&gt;=60, "Senior (60+)", L159&gt;=40, "Middle-Aged (40-59)", L159&gt;=20, "Young Adult (20-39)")</f>
        <v>Middle-Aged (40-59)</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_xlfn.IFS(L160&gt;=60, "Senior (60+)", L160&gt;=40, "Middle-Aged (40-59)", L160&gt;=20, "Young Adult (20-39)")</f>
        <v>Middle-Aged (40-59)</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_xlfn.IFS(L161&gt;=60, "Senior (60+)", L161&gt;=40, "Middle-Aged (40-59)", L161&gt;=20, "Young Adult (20-39)")</f>
        <v>Middle-Aged (40-59)</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_xlfn.IFS(L162&gt;=60, "Senior (60+)", L162&gt;=40, "Middle-Aged (40-59)", L162&gt;=20, "Young Adult (20-39)")</f>
        <v>Middle-Aged (40-59)</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_xlfn.IFS(L163&gt;=60, "Senior (60+)", L163&gt;=40, "Middle-Aged (40-59)", L163&gt;=20, "Young Adult (20-39)")</f>
        <v>Middle-Aged (40-59)</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_xlfn.IFS(L164&gt;=60, "Senior (60+)", L164&gt;=40, "Middle-Aged (40-59)", L164&gt;=20, "Young Adult (20-39)")</f>
        <v>Young Adult (20-39)</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_xlfn.IFS(L165&gt;=60, "Senior (60+)", L165&gt;=40, "Middle-Aged (40-59)", L165&gt;=20, "Young Adult (20-39)")</f>
        <v>Middle-Aged (40-59)</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_xlfn.IFS(L166&gt;=60, "Senior (60+)", L166&gt;=40, "Middle-Aged (40-59)", L166&gt;=20, "Young Adult (20-39)")</f>
        <v>Young Adult (20-39)</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_xlfn.IFS(L167&gt;=60, "Senior (60+)", L167&gt;=40, "Middle-Aged (40-59)", L167&gt;=20, "Young Adult (20-39)")</f>
        <v>Young Adult (20-39)</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_xlfn.IFS(L168&gt;=60, "Senior (60+)", L168&gt;=40, "Middle-Aged (40-59)", L168&gt;=20, "Young Adult (20-39)")</f>
        <v>Middle-Aged (40-59)</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_xlfn.IFS(L169&gt;=60, "Senior (60+)", L169&gt;=40, "Middle-Aged (40-59)", L169&gt;=20, "Young Adult (20-39)")</f>
        <v>Young Adult (20-39)</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_xlfn.IFS(L170&gt;=60, "Senior (60+)", L170&gt;=40, "Middle-Aged (40-59)", L170&gt;=20, "Young Adult (20-39)")</f>
        <v>Middle-Aged (40-59)</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_xlfn.IFS(L171&gt;=60, "Senior (60+)", L171&gt;=40, "Middle-Aged (40-59)", L171&gt;=20, "Young Adult (20-39)")</f>
        <v>Middle-Aged (40-59)</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_xlfn.IFS(L172&gt;=60, "Senior (60+)", L172&gt;=40, "Middle-Aged (40-59)", L172&gt;=20, "Young Adult (20-39)")</f>
        <v>Senior (60+)</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_xlfn.IFS(L173&gt;=60, "Senior (60+)", L173&gt;=40, "Middle-Aged (40-59)", L173&gt;=20, "Young Adult (20-39)")</f>
        <v>Senior (60+)</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_xlfn.IFS(L174&gt;=60, "Senior (60+)", L174&gt;=40, "Middle-Aged (40-59)", L174&gt;=20, "Young Adult (20-39)")</f>
        <v>Young Adult (20-39)</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_xlfn.IFS(L175&gt;=60, "Senior (60+)", L175&gt;=40, "Middle-Aged (40-59)", L175&gt;=20, "Young Adult (20-39)")</f>
        <v>Young Adult (20-39)</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_xlfn.IFS(L176&gt;=60, "Senior (60+)", L176&gt;=40, "Middle-Aged (40-59)", L176&gt;=20, "Young Adult (20-39)")</f>
        <v>Young Adult (20-39)</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_xlfn.IFS(L177&gt;=60, "Senior (60+)", L177&gt;=40, "Middle-Aged (40-59)", L177&gt;=20, "Young Adult (20-39)")</f>
        <v>Middle-Aged (40-59)</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_xlfn.IFS(L178&gt;=60, "Senior (60+)", L178&gt;=40, "Middle-Aged (40-59)", L178&gt;=20, "Young Adult (20-39)")</f>
        <v>Young Adult (20-39)</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_xlfn.IFS(L179&gt;=60, "Senior (60+)", L179&gt;=40, "Middle-Aged (40-59)", L179&gt;=20, "Young Adult (20-39)")</f>
        <v>Middle-Aged (40-59)</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_xlfn.IFS(L180&gt;=60, "Senior (60+)", L180&gt;=40, "Middle-Aged (40-59)", L180&gt;=20, "Young Adult (20-39)")</f>
        <v>Middle-Aged (40-59)</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_xlfn.IFS(L181&gt;=60, "Senior (60+)", L181&gt;=40, "Middle-Aged (40-59)", L181&gt;=20, "Young Adult (20-39)")</f>
        <v>Young Adult (20-39)</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_xlfn.IFS(L182&gt;=60, "Senior (60+)", L182&gt;=40, "Middle-Aged (40-59)", L182&gt;=20, "Young Adult (20-39)")</f>
        <v>Middle-Aged (40-59)</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_xlfn.IFS(L183&gt;=60, "Senior (60+)", L183&gt;=40, "Middle-Aged (40-59)", L183&gt;=20, "Young Adult (20-39)")</f>
        <v>Middle-Aged (40-59)</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_xlfn.IFS(L184&gt;=60, "Senior (60+)", L184&gt;=40, "Middle-Aged (40-59)", L184&gt;=20, "Young Adult (20-39)")</f>
        <v>Young Adult (20-39)</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_xlfn.IFS(L185&gt;=60, "Senior (60+)", L185&gt;=40, "Middle-Aged (40-59)", L185&gt;=20, "Young Adult (20-39)")</f>
        <v>Senior (60+)</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_xlfn.IFS(L186&gt;=60, "Senior (60+)", L186&gt;=40, "Middle-Aged (40-59)", L186&gt;=20, "Young Adult (20-39)")</f>
        <v>Middle-Aged (40-59)</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_xlfn.IFS(L187&gt;=60, "Senior (60+)", L187&gt;=40, "Middle-Aged (40-59)", L187&gt;=20, "Young Adult (20-39)")</f>
        <v>Middle-Aged (40-59)</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_xlfn.IFS(L188&gt;=60, "Senior (60+)", L188&gt;=40, "Middle-Aged (40-59)", L188&gt;=20, "Young Adult (20-39)")</f>
        <v>Middle-Aged (40-59)</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_xlfn.IFS(L189&gt;=60, "Senior (60+)", L189&gt;=40, "Middle-Aged (40-59)", L189&gt;=20, "Young Adult (20-39)")</f>
        <v>Middle-Aged (40-59)</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_xlfn.IFS(L190&gt;=60, "Senior (60+)", L190&gt;=40, "Middle-Aged (40-59)", L190&gt;=20, "Young Adult (20-39)")</f>
        <v>Young Adult (20-39)</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_xlfn.IFS(L191&gt;=60, "Senior (60+)", L191&gt;=40, "Middle-Aged (40-59)", L191&gt;=20, "Young Adult (20-39)")</f>
        <v>Middle-Aged (40-59)</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_xlfn.IFS(L192&gt;=60, "Senior (60+)", L192&gt;=40, "Middle-Aged (40-59)", L192&gt;=20, "Young Adult (20-39)")</f>
        <v>Middle-Aged (40-59)</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_xlfn.IFS(L193&gt;=60, "Senior (60+)", L193&gt;=40, "Middle-Aged (40-59)", L193&gt;=20, "Young Adult (20-39)")</f>
        <v>Young Adult (20-39)</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_xlfn.IFS(L194&gt;=60, "Senior (60+)", L194&gt;=40, "Middle-Aged (40-59)", L194&gt;=20, "Young Adult (20-39)")</f>
        <v>Senior (60+)</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_xlfn.IFS(L195&gt;=60, "Senior (60+)", L195&gt;=40, "Middle-Aged (40-59)", L195&gt;=20, "Young Adult (20-39)")</f>
        <v>Middle-Aged (40-59)</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_xlfn.IFS(L196&gt;=60, "Senior (60+)", L196&gt;=40, "Middle-Aged (40-59)", L196&gt;=20, "Young Adult (20-39)")</f>
        <v>Young Adult (20-39)</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_xlfn.IFS(L197&gt;=60, "Senior (60+)", L197&gt;=40, "Middle-Aged (40-59)", L197&gt;=20, "Young Adult (20-39)")</f>
        <v>Young Adult (20-39)</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_xlfn.IFS(L198&gt;=60, "Senior (60+)", L198&gt;=40, "Middle-Aged (40-59)", L198&gt;=20, "Young Adult (20-39)")</f>
        <v>Young Adult (20-39)</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_xlfn.IFS(L199&gt;=60, "Senior (60+)", L199&gt;=40, "Middle-Aged (40-59)", L199&gt;=20, "Young Adult (20-39)")</f>
        <v>Senior (60+)</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_xlfn.IFS(L200&gt;=60, "Senior (60+)", L200&gt;=40, "Middle-Aged (40-59)", L200&gt;=20, "Young Adult (20-39)")</f>
        <v>Young Adult (20-39)</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_xlfn.IFS(L201&gt;=60, "Senior (60+)", L201&gt;=40, "Middle-Aged (40-59)", L201&gt;=20, "Young Adult (20-39)")</f>
        <v>Young Adult (20-39)</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_xlfn.IFS(L202&gt;=60, "Senior (60+)", L202&gt;=40, "Middle-Aged (40-59)", L202&gt;=20, "Young Adult (20-39)")</f>
        <v>Young Adult (20-39)</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_xlfn.IFS(L203&gt;=60, "Senior (60+)", L203&gt;=40, "Middle-Aged (40-59)", L203&gt;=20, "Young Adult (20-39)")</f>
        <v>Young Adult (20-39)</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_xlfn.IFS(L204&gt;=60, "Senior (60+)", L204&gt;=40, "Middle-Aged (40-59)", L204&gt;=20, "Young Adult (20-39)")</f>
        <v>Young Adult (20-39)</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_xlfn.IFS(L205&gt;=60, "Senior (60+)", L205&gt;=40, "Middle-Aged (40-59)", L205&gt;=20, "Young Adult (20-39)")</f>
        <v>Middle-Aged (40-59)</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_xlfn.IFS(L206&gt;=60, "Senior (60+)", L206&gt;=40, "Middle-Aged (40-59)", L206&gt;=20, "Young Adult (20-39)")</f>
        <v>Middle-Aged (40-59)</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_xlfn.IFS(L207&gt;=60, "Senior (60+)", L207&gt;=40, "Middle-Aged (40-59)", L207&gt;=20, "Young Adult (20-39)")</f>
        <v>Middle-Aged (40-59)</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_xlfn.IFS(L208&gt;=60, "Senior (60+)", L208&gt;=40, "Middle-Aged (40-59)", L208&gt;=20, "Young Adult (20-39)")</f>
        <v>Senior (60+)</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_xlfn.IFS(L209&gt;=60, "Senior (60+)", L209&gt;=40, "Middle-Aged (40-59)", L209&gt;=20, "Young Adult (20-39)")</f>
        <v>Young Adult (20-39)</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_xlfn.IFS(L210&gt;=60, "Senior (60+)", L210&gt;=40, "Middle-Aged (40-59)", L210&gt;=20, "Young Adult (20-39)")</f>
        <v>Young Adult (20-39)</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_xlfn.IFS(L211&gt;=60, "Senior (60+)", L211&gt;=40, "Middle-Aged (40-59)", L211&gt;=20, "Young Adult (20-39)")</f>
        <v>Middle-Aged (40-59)</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_xlfn.IFS(L212&gt;=60, "Senior (60+)", L212&gt;=40, "Middle-Aged (40-59)", L212&gt;=20, "Young Adult (20-39)")</f>
        <v>Young Adult (20-39)</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_xlfn.IFS(L213&gt;=60, "Senior (60+)", L213&gt;=40, "Middle-Aged (40-59)", L213&gt;=20, "Young Adult (20-39)")</f>
        <v>Young Adult (20-39)</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_xlfn.IFS(L214&gt;=60, "Senior (60+)", L214&gt;=40, "Middle-Aged (40-59)", L214&gt;=20, "Young Adult (20-39)")</f>
        <v>Young Adult (20-39)</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_xlfn.IFS(L215&gt;=60, "Senior (60+)", L215&gt;=40, "Middle-Aged (40-59)", L215&gt;=20, "Young Adult (20-39)")</f>
        <v>Young Adult (20-39)</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_xlfn.IFS(L216&gt;=60, "Senior (60+)", L216&gt;=40, "Middle-Aged (40-59)", L216&gt;=20, "Young Adult (20-39)")</f>
        <v>Senior (60+)</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_xlfn.IFS(L217&gt;=60, "Senior (60+)", L217&gt;=40, "Middle-Aged (40-59)", L217&gt;=20, "Young Adult (20-39)")</f>
        <v>Middle-Aged (40-59)</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_xlfn.IFS(L218&gt;=60, "Senior (60+)", L218&gt;=40, "Middle-Aged (40-59)", L218&gt;=20, "Young Adult (20-39)")</f>
        <v>Middle-Aged (40-59)</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_xlfn.IFS(L219&gt;=60, "Senior (60+)", L219&gt;=40, "Middle-Aged (40-59)", L219&gt;=20, "Young Adult (20-39)")</f>
        <v>Young Adult (20-39)</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_xlfn.IFS(L220&gt;=60, "Senior (60+)", L220&gt;=40, "Middle-Aged (40-59)", L220&gt;=20, "Young Adult (20-39)")</f>
        <v>Middle-Aged (40-59)</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_xlfn.IFS(L221&gt;=60, "Senior (60+)", L221&gt;=40, "Middle-Aged (40-59)", L221&gt;=20, "Young Adult (20-39)")</f>
        <v>Young Adult (20-39)</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_xlfn.IFS(L222&gt;=60, "Senior (60+)", L222&gt;=40, "Middle-Aged (40-59)", L222&gt;=20, "Young Adult (20-39)")</f>
        <v>Middle-Aged (40-59)</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_xlfn.IFS(L223&gt;=60, "Senior (60+)", L223&gt;=40, "Middle-Aged (40-59)", L223&gt;=20, "Young Adult (20-39)")</f>
        <v>Young Adult (20-39)</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_xlfn.IFS(L224&gt;=60, "Senior (60+)", L224&gt;=40, "Middle-Aged (40-59)", L224&gt;=20, "Young Adult (20-39)")</f>
        <v>Middle-Aged (40-59)</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_xlfn.IFS(L225&gt;=60, "Senior (60+)", L225&gt;=40, "Middle-Aged (40-59)", L225&gt;=20, "Young Adult (20-39)")</f>
        <v>Young Adult (20-39)</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_xlfn.IFS(L226&gt;=60, "Senior (60+)", L226&gt;=40, "Middle-Aged (40-59)", L226&gt;=20, "Young Adult (20-39)")</f>
        <v>Senior (60+)</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_xlfn.IFS(L227&gt;=60, "Senior (60+)", L227&gt;=40, "Middle-Aged (40-59)", L227&gt;=20, "Young Adult (20-39)")</f>
        <v>Young Adult (20-39)</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_xlfn.IFS(L228&gt;=60, "Senior (60+)", L228&gt;=40, "Middle-Aged (40-59)", L228&gt;=20, "Young Adult (20-39)")</f>
        <v>Middle-Aged (40-59)</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_xlfn.IFS(L229&gt;=60, "Senior (60+)", L229&gt;=40, "Middle-Aged (40-59)", L229&gt;=20, "Young Adult (20-39)")</f>
        <v>Middle-Aged (40-59)</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_xlfn.IFS(L230&gt;=60, "Senior (60+)", L230&gt;=40, "Middle-Aged (40-59)", L230&gt;=20, "Young Adult (20-39)")</f>
        <v>Middle-Aged (40-59)</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_xlfn.IFS(L231&gt;=60, "Senior (60+)", L231&gt;=40, "Middle-Aged (40-59)", L231&gt;=20, "Young Adult (20-39)")</f>
        <v>Middle-Aged (40-59)</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_xlfn.IFS(L232&gt;=60, "Senior (60+)", L232&gt;=40, "Middle-Aged (40-59)", L232&gt;=20, "Young Adult (20-39)")</f>
        <v>Middle-Aged (40-59)</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_xlfn.IFS(L233&gt;=60, "Senior (60+)", L233&gt;=40, "Middle-Aged (40-59)", L233&gt;=20, "Young Adult (20-39)")</f>
        <v>Young Adult (20-39)</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_xlfn.IFS(L234&gt;=60, "Senior (60+)", L234&gt;=40, "Middle-Aged (40-59)", L234&gt;=20, "Young Adult (20-39)")</f>
        <v>Middle-Aged (40-59)</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_xlfn.IFS(L235&gt;=60, "Senior (60+)", L235&gt;=40, "Middle-Aged (40-59)", L235&gt;=20, "Young Adult (20-39)")</f>
        <v>Young Adult (20-39)</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_xlfn.IFS(L236&gt;=60, "Senior (60+)", L236&gt;=40, "Middle-Aged (40-59)", L236&gt;=20, "Young Adult (20-39)")</f>
        <v>Young Adult (20-39)</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_xlfn.IFS(L237&gt;=60, "Senior (60+)", L237&gt;=40, "Middle-Aged (40-59)", L237&gt;=20, "Young Adult (20-39)")</f>
        <v>Senior (60+)</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_xlfn.IFS(L238&gt;=60, "Senior (60+)", L238&gt;=40, "Middle-Aged (40-59)", L238&gt;=20, "Young Adult (20-39)")</f>
        <v>Middle-Aged (40-59)</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_xlfn.IFS(L239&gt;=60, "Senior (60+)", L239&gt;=40, "Middle-Aged (40-59)", L239&gt;=20, "Young Adult (20-39)")</f>
        <v>Young Adult (20-39)</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_xlfn.IFS(L240&gt;=60, "Senior (60+)", L240&gt;=40, "Middle-Aged (40-59)", L240&gt;=20, "Young Adult (20-39)")</f>
        <v>Middle-Aged (40-59)</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_xlfn.IFS(L241&gt;=60, "Senior (60+)", L241&gt;=40, "Middle-Aged (40-59)", L241&gt;=20, "Young Adult (20-39)")</f>
        <v>Young Adult (20-39)</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_xlfn.IFS(L242&gt;=60, "Senior (60+)", L242&gt;=40, "Middle-Aged (40-59)", L242&gt;=20, "Young Adult (20-39)")</f>
        <v>Young Adult (20-39)</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_xlfn.IFS(L243&gt;=60, "Senior (60+)", L243&gt;=40, "Middle-Aged (40-59)", L243&gt;=20, "Young Adult (20-39)")</f>
        <v>Young Adult (20-39)</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_xlfn.IFS(L244&gt;=60, "Senior (60+)", L244&gt;=40, "Middle-Aged (40-59)", L244&gt;=20, "Young Adult (20-39)")</f>
        <v>Young Adult (20-39)</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_xlfn.IFS(L245&gt;=60, "Senior (60+)", L245&gt;=40, "Middle-Aged (40-59)", L245&gt;=20, "Young Adult (20-39)")</f>
        <v>Young Adult (20-39)</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_xlfn.IFS(L246&gt;=60, "Senior (60+)", L246&gt;=40, "Middle-Aged (40-59)", L246&gt;=20, "Young Adult (20-39)")</f>
        <v>Middle-Aged (40-59)</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_xlfn.IFS(L247&gt;=60, "Senior (60+)", L247&gt;=40, "Middle-Aged (40-59)", L247&gt;=20, "Young Adult (20-39)")</f>
        <v>Middle-Aged (40-59)</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_xlfn.IFS(L248&gt;=60, "Senior (60+)", L248&gt;=40, "Middle-Aged (40-59)", L248&gt;=20, "Young Adult (20-39)")</f>
        <v>Middle-Aged (40-59)</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_xlfn.IFS(L249&gt;=60, "Senior (60+)", L249&gt;=40, "Middle-Aged (40-59)", L249&gt;=20, "Young Adult (20-39)")</f>
        <v>Young Adult (20-39)</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_xlfn.IFS(L250&gt;=60, "Senior (60+)", L250&gt;=40, "Middle-Aged (40-59)", L250&gt;=20, "Young Adult (20-39)")</f>
        <v>Senior (60+)</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_xlfn.IFS(L251&gt;=60, "Senior (60+)", L251&gt;=40, "Middle-Aged (40-59)", L251&gt;=20, "Young Adult (20-39)")</f>
        <v>Young Adult (20-39)</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_xlfn.IFS(L252&gt;=60, "Senior (60+)", L252&gt;=40, "Middle-Aged (40-59)", L252&gt;=20, "Young Adult (20-39)")</f>
        <v>Senior (60+)</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_xlfn.IFS(L253&gt;=60, "Senior (60+)", L253&gt;=40, "Middle-Aged (40-59)", L253&gt;=20, "Young Adult (20-39)")</f>
        <v>Middle-Aged (40-59)</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_xlfn.IFS(L254&gt;=60, "Senior (60+)", L254&gt;=40, "Middle-Aged (40-59)", L254&gt;=20, "Young Adult (20-39)")</f>
        <v>Young Adult (20-39)</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_xlfn.IFS(L255&gt;=60, "Senior (60+)", L255&gt;=40, "Middle-Aged (40-59)", L255&gt;=20, "Young Adult (20-39)")</f>
        <v>Middle-Aged (40-59)</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_xlfn.IFS(L256&gt;=60, "Senior (60+)", L256&gt;=40, "Middle-Aged (40-59)", L256&gt;=20, "Young Adult (20-39)")</f>
        <v>Middle-Aged (40-59)</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_xlfn.IFS(L257&gt;=60, "Senior (60+)", L257&gt;=40, "Middle-Aged (40-59)", L257&gt;=20, "Young Adult (20-39)")</f>
        <v>Middle-Aged (40-59)</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_xlfn.IFS(L258&gt;=60, "Senior (60+)", L258&gt;=40, "Middle-Aged (40-59)", L258&gt;=20, "Young Adult (20-39)")</f>
        <v>Middle-Aged (40-59)</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_xlfn.IFS(L259&gt;=60, "Senior (60+)", L259&gt;=40, "Middle-Aged (40-59)", L259&gt;=20, "Young Adult (20-39)")</f>
        <v>Young Adult (20-39)</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_xlfn.IFS(L260&gt;=60, "Senior (60+)", L260&gt;=40, "Middle-Aged (40-59)", L260&gt;=20, "Young Adult (20-39)")</f>
        <v>Middle-Aged (40-59)</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_xlfn.IFS(L261&gt;=60, "Senior (60+)", L261&gt;=40, "Middle-Aged (40-59)", L261&gt;=20, "Young Adult (20-39)")</f>
        <v>Young Adult (20-39)</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_xlfn.IFS(L262&gt;=60, "Senior (60+)", L262&gt;=40, "Middle-Aged (40-59)", L262&gt;=20, "Young Adult (20-39)")</f>
        <v>Middle-Aged (40-59)</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_xlfn.IFS(L263&gt;=60, "Senior (60+)", L263&gt;=40, "Middle-Aged (40-59)", L263&gt;=20, "Young Adult (20-39)")</f>
        <v>Young Adult (20-39)</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_xlfn.IFS(L264&gt;=60, "Senior (60+)", L264&gt;=40, "Middle-Aged (40-59)", L264&gt;=20, "Young Adult (20-39)")</f>
        <v>Middle-Aged (40-59)</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_xlfn.IFS(L265&gt;=60, "Senior (60+)", L265&gt;=40, "Middle-Aged (40-59)", L265&gt;=20, "Young Adult (20-39)")</f>
        <v>Young Adult (20-39)</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_xlfn.IFS(L266&gt;=60, "Senior (60+)", L266&gt;=40, "Middle-Aged (40-59)", L266&gt;=20, "Young Adult (20-39)")</f>
        <v>Young Adult (20-39)</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_xlfn.IFS(L267&gt;=60, "Senior (60+)", L267&gt;=40, "Middle-Aged (40-59)", L267&gt;=20, "Young Adult (20-39)")</f>
        <v>Middle-Aged (40-59)</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_xlfn.IFS(L268&gt;=60, "Senior (60+)", L268&gt;=40, "Middle-Aged (40-59)", L268&gt;=20, "Young Adult (20-39)")</f>
        <v>Young Adult (20-39)</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_xlfn.IFS(L269&gt;=60, "Senior (60+)", L269&gt;=40, "Middle-Aged (40-59)", L269&gt;=20, "Young Adult (20-39)")</f>
        <v>Middle-Aged (40-59)</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_xlfn.IFS(L270&gt;=60, "Senior (60+)", L270&gt;=40, "Middle-Aged (40-59)", L270&gt;=20, "Young Adult (20-39)")</f>
        <v>Middle-Aged (40-59)</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_xlfn.IFS(L271&gt;=60, "Senior (60+)", L271&gt;=40, "Middle-Aged (40-59)", L271&gt;=20, "Young Adult (20-39)")</f>
        <v>Young Adult (20-39)</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_xlfn.IFS(L272&gt;=60, "Senior (60+)", L272&gt;=40, "Middle-Aged (40-59)", L272&gt;=20, "Young Adult (20-39)")</f>
        <v>Middle-Aged (40-59)</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_xlfn.IFS(L273&gt;=60, "Senior (60+)", L273&gt;=40, "Middle-Aged (40-59)", L273&gt;=20, "Young Adult (20-39)")</f>
        <v>Young Adult (20-39)</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_xlfn.IFS(L274&gt;=60, "Senior (60+)", L274&gt;=40, "Middle-Aged (40-59)", L274&gt;=20, "Young Adult (20-39)")</f>
        <v>Middle-Aged (40-59)</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_xlfn.IFS(L275&gt;=60, "Senior (60+)", L275&gt;=40, "Middle-Aged (40-59)", L275&gt;=20, "Young Adult (20-39)")</f>
        <v>Young Adult (20-39)</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_xlfn.IFS(L276&gt;=60, "Senior (60+)", L276&gt;=40, "Middle-Aged (40-59)", L276&gt;=20, "Young Adult (20-39)")</f>
        <v>Young Adult (20-39)</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_xlfn.IFS(L277&gt;=60, "Senior (60+)", L277&gt;=40, "Middle-Aged (40-59)", L277&gt;=20, "Young Adult (20-39)")</f>
        <v>Young Adult (20-39)</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_xlfn.IFS(L278&gt;=60, "Senior (60+)", L278&gt;=40, "Middle-Aged (40-59)", L278&gt;=20, "Young Adult (20-39)")</f>
        <v>Middle-Aged (40-59)</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_xlfn.IFS(L279&gt;=60, "Senior (60+)", L279&gt;=40, "Middle-Aged (40-59)", L279&gt;=20, "Young Adult (20-39)")</f>
        <v>Young Adult (20-39)</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_xlfn.IFS(L280&gt;=60, "Senior (60+)", L280&gt;=40, "Middle-Aged (40-59)", L280&gt;=20, "Young Adult (20-39)")</f>
        <v>Young Adult (20-39)</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_xlfn.IFS(L281&gt;=60, "Senior (60+)", L281&gt;=40, "Middle-Aged (40-59)", L281&gt;=20, "Young Adult (20-39)")</f>
        <v>Young Adult (20-39)</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_xlfn.IFS(L282&gt;=60, "Senior (60+)", L282&gt;=40, "Middle-Aged (40-59)", L282&gt;=20, "Young Adult (20-39)")</f>
        <v>Middle-Aged (40-59)</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_xlfn.IFS(L283&gt;=60, "Senior (60+)", L283&gt;=40, "Middle-Aged (40-59)", L283&gt;=20, "Young Adult (20-39)")</f>
        <v>Young Adult (20-39)</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_xlfn.IFS(L284&gt;=60, "Senior (60+)", L284&gt;=40, "Middle-Aged (40-59)", L284&gt;=20, "Young Adult (20-39)")</f>
        <v>Young Adult (20-39)</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_xlfn.IFS(L285&gt;=60, "Senior (60+)", L285&gt;=40, "Middle-Aged (40-59)", L285&gt;=20, "Young Adult (20-39)")</f>
        <v>Middle-Aged (40-59)</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_xlfn.IFS(L286&gt;=60, "Senior (60+)", L286&gt;=40, "Middle-Aged (40-59)", L286&gt;=20, "Young Adult (20-39)")</f>
        <v>Middle-Aged (40-59)</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_xlfn.IFS(L287&gt;=60, "Senior (60+)", L287&gt;=40, "Middle-Aged (40-59)", L287&gt;=20, "Young Adult (20-39)")</f>
        <v>Middle-Aged (40-59)</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_xlfn.IFS(L288&gt;=60, "Senior (60+)", L288&gt;=40, "Middle-Aged (40-59)", L288&gt;=20, "Young Adult (20-39)")</f>
        <v>Middle-Aged (40-59)</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_xlfn.IFS(L289&gt;=60, "Senior (60+)", L289&gt;=40, "Middle-Aged (40-59)", L289&gt;=20, "Young Adult (20-39)")</f>
        <v>Middle-Aged (40-59)</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_xlfn.IFS(L290&gt;=60, "Senior (60+)", L290&gt;=40, "Middle-Aged (40-59)", L290&gt;=20, "Young Adult (20-39)")</f>
        <v>Middle-Aged (40-59)</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_xlfn.IFS(L291&gt;=60, "Senior (60+)", L291&gt;=40, "Middle-Aged (40-59)", L291&gt;=20, "Young Adult (20-39)")</f>
        <v>Middle-Aged (40-59)</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_xlfn.IFS(L292&gt;=60, "Senior (60+)", L292&gt;=40, "Middle-Aged (40-59)", L292&gt;=20, "Young Adult (20-39)")</f>
        <v>Middle-Aged (40-59)</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_xlfn.IFS(L293&gt;=60, "Senior (60+)", L293&gt;=40, "Middle-Aged (40-59)", L293&gt;=20, "Young Adult (20-39)")</f>
        <v>Young Adult (20-39)</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_xlfn.IFS(L294&gt;=60, "Senior (60+)", L294&gt;=40, "Middle-Aged (40-59)", L294&gt;=20, "Young Adult (20-39)")</f>
        <v>Middle-Aged (40-59)</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_xlfn.IFS(L295&gt;=60, "Senior (60+)", L295&gt;=40, "Middle-Aged (40-59)", L295&gt;=20, "Young Adult (20-39)")</f>
        <v>Middle-Aged (40-59)</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_xlfn.IFS(L296&gt;=60, "Senior (60+)", L296&gt;=40, "Middle-Aged (40-59)", L296&gt;=20, "Young Adult (20-39)")</f>
        <v>Young Adult (20-39)</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_xlfn.IFS(L297&gt;=60, "Senior (60+)", L297&gt;=40, "Middle-Aged (40-59)", L297&gt;=20, "Young Adult (20-39)")</f>
        <v>Young Adult (20-39)</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_xlfn.IFS(L298&gt;=60, "Senior (60+)", L298&gt;=40, "Middle-Aged (40-59)", L298&gt;=20, "Young Adult (20-39)")</f>
        <v>Young Adult (20-39)</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_xlfn.IFS(L299&gt;=60, "Senior (60+)", L299&gt;=40, "Middle-Aged (40-59)", L299&gt;=20, "Young Adult (20-39)")</f>
        <v>Young Adult (20-39)</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_xlfn.IFS(L300&gt;=60, "Senior (60+)", L300&gt;=40, "Middle-Aged (40-59)", L300&gt;=20, "Young Adult (20-39)")</f>
        <v>Middle-Aged (40-59)</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_xlfn.IFS(L301&gt;=60, "Senior (60+)", L301&gt;=40, "Middle-Aged (40-59)", L301&gt;=20, "Young Adult (20-39)")</f>
        <v>Senior (60+)</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_xlfn.IFS(L302&gt;=60, "Senior (60+)", L302&gt;=40, "Middle-Aged (40-59)", L302&gt;=20, "Young Adult (20-39)")</f>
        <v>Senior (60+)</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_xlfn.IFS(L303&gt;=60, "Senior (60+)", L303&gt;=40, "Middle-Aged (40-59)", L303&gt;=20, "Young Adult (20-39)")</f>
        <v>Young Adult (20-39)</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_xlfn.IFS(L304&gt;=60, "Senior (60+)", L304&gt;=40, "Middle-Aged (40-59)", L304&gt;=20, "Young Adult (20-39)")</f>
        <v>Senior (60+)</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_xlfn.IFS(L305&gt;=60, "Senior (60+)", L305&gt;=40, "Middle-Aged (40-59)", L305&gt;=20, "Young Adult (20-39)")</f>
        <v>Middle-Aged (40-59)</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_xlfn.IFS(L306&gt;=60, "Senior (60+)", L306&gt;=40, "Middle-Aged (40-59)", L306&gt;=20, "Young Adult (20-39)")</f>
        <v>Young Adult (20-39)</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_xlfn.IFS(L307&gt;=60, "Senior (60+)", L307&gt;=40, "Middle-Aged (40-59)", L307&gt;=20, "Young Adult (20-39)")</f>
        <v>Middle-Aged (40-59)</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_xlfn.IFS(L308&gt;=60, "Senior (60+)", L308&gt;=40, "Middle-Aged (40-59)", L308&gt;=20, "Young Adult (20-39)")</f>
        <v>Middle-Aged (40-59)</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_xlfn.IFS(L309&gt;=60, "Senior (60+)", L309&gt;=40, "Middle-Aged (40-59)", L309&gt;=20, "Young Adult (20-39)")</f>
        <v>Senior (60+)</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_xlfn.IFS(L310&gt;=60, "Senior (60+)", L310&gt;=40, "Middle-Aged (40-59)", L310&gt;=20, "Young Adult (20-39)")</f>
        <v>Young Adult (20-39)</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_xlfn.IFS(L311&gt;=60, "Senior (60+)", L311&gt;=40, "Middle-Aged (40-59)", L311&gt;=20, "Young Adult (20-39)")</f>
        <v>Middle-Aged (40-59)</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_xlfn.IFS(L312&gt;=60, "Senior (60+)", L312&gt;=40, "Middle-Aged (40-59)", L312&gt;=20, "Young Adult (20-39)")</f>
        <v>Middle-Aged (40-59)</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_xlfn.IFS(L313&gt;=60, "Senior (60+)", L313&gt;=40, "Middle-Aged (40-59)", L313&gt;=20, "Young Adult (20-39)")</f>
        <v>Middle-Aged (40-59)</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_xlfn.IFS(L314&gt;=60, "Senior (60+)", L314&gt;=40, "Middle-Aged (40-59)", L314&gt;=20, "Young Adult (20-39)")</f>
        <v>Middle-Aged (40-59)</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_xlfn.IFS(L315&gt;=60, "Senior (60+)", L315&gt;=40, "Middle-Aged (40-59)", L315&gt;=20, "Young Adult (20-39)")</f>
        <v>Middle-Aged (40-59)</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_xlfn.IFS(L316&gt;=60, "Senior (60+)", L316&gt;=40, "Middle-Aged (40-59)", L316&gt;=20, "Young Adult (20-39)")</f>
        <v>Middle-Aged (40-59)</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_xlfn.IFS(L317&gt;=60, "Senior (60+)", L317&gt;=40, "Middle-Aged (40-59)", L317&gt;=20, "Young Adult (20-39)")</f>
        <v>Middle-Aged (40-59)</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_xlfn.IFS(L318&gt;=60, "Senior (60+)", L318&gt;=40, "Middle-Aged (40-59)", L318&gt;=20, "Young Adult (20-39)")</f>
        <v>Senior (60+)</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_xlfn.IFS(L319&gt;=60, "Senior (60+)", L319&gt;=40, "Middle-Aged (40-59)", L319&gt;=20, "Young Adult (20-39)")</f>
        <v>Young Adult (20-39)</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_xlfn.IFS(L320&gt;=60, "Senior (60+)", L320&gt;=40, "Middle-Aged (40-59)", L320&gt;=20, "Young Adult (20-39)")</f>
        <v>Middle-Aged (40-59)</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_xlfn.IFS(L321&gt;=60, "Senior (60+)", L321&gt;=40, "Middle-Aged (40-59)", L321&gt;=20, "Young Adult (20-39)")</f>
        <v>Middle-Aged (40-59)</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_xlfn.IFS(L322&gt;=60, "Senior (60+)", L322&gt;=40, "Middle-Aged (40-59)", L322&gt;=20, "Young Adult (20-39)")</f>
        <v>Middle-Aged (40-59)</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_xlfn.IFS(L323&gt;=60, "Senior (60+)", L323&gt;=40, "Middle-Aged (40-59)", L323&gt;=20, "Young Adult (20-39)")</f>
        <v>Middle-Aged (40-59)</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_xlfn.IFS(L324&gt;=60, "Senior (60+)", L324&gt;=40, "Middle-Aged (40-59)", L324&gt;=20, "Young Adult (20-39)")</f>
        <v>Middle-Aged (40-59)</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_xlfn.IFS(L325&gt;=60, "Senior (60+)", L325&gt;=40, "Middle-Aged (40-59)", L325&gt;=20, "Young Adult (20-39)")</f>
        <v>Young Adult (20-39)</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_xlfn.IFS(L326&gt;=60, "Senior (60+)", L326&gt;=40, "Middle-Aged (40-59)", L326&gt;=20, "Young Adult (20-39)")</f>
        <v>Young Adult (20-39)</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_xlfn.IFS(L327&gt;=60, "Senior (60+)", L327&gt;=40, "Middle-Aged (40-59)", L327&gt;=20, "Young Adult (20-39)")</f>
        <v>Young Adult (20-39)</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_xlfn.IFS(L328&gt;=60, "Senior (60+)", L328&gt;=40, "Middle-Aged (40-59)", L328&gt;=20, "Young Adult (20-39)")</f>
        <v>Young Adult (20-39)</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_xlfn.IFS(L329&gt;=60, "Senior (60+)", L329&gt;=40, "Middle-Aged (40-59)", L329&gt;=20, "Young Adult (20-39)")</f>
        <v>Middle-Aged (40-59)</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_xlfn.IFS(L330&gt;=60, "Senior (60+)", L330&gt;=40, "Middle-Aged (40-59)", L330&gt;=20, "Young Adult (20-39)")</f>
        <v>Young Adult (20-39)</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_xlfn.IFS(L331&gt;=60, "Senior (60+)", L331&gt;=40, "Middle-Aged (40-59)", L331&gt;=20, "Young Adult (20-39)")</f>
        <v>Middle-Aged (40-59)</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_xlfn.IFS(L332&gt;=60, "Senior (60+)", L332&gt;=40, "Middle-Aged (40-59)", L332&gt;=20, "Young Adult (20-39)")</f>
        <v>Young Adult (20-39)</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_xlfn.IFS(L333&gt;=60, "Senior (60+)", L333&gt;=40, "Middle-Aged (40-59)", L333&gt;=20, "Young Adult (20-39)")</f>
        <v>Young Adult (20-39)</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_xlfn.IFS(L334&gt;=60, "Senior (60+)", L334&gt;=40, "Middle-Aged (40-59)", L334&gt;=20, "Young Adult (20-39)")</f>
        <v>Young Adult (20-39)</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_xlfn.IFS(L335&gt;=60, "Senior (60+)", L335&gt;=40, "Middle-Aged (40-59)", L335&gt;=20, "Young Adult (20-39)")</f>
        <v>Middle-Aged (40-59)</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_xlfn.IFS(L336&gt;=60, "Senior (60+)", L336&gt;=40, "Middle-Aged (40-59)", L336&gt;=20, "Young Adult (20-39)")</f>
        <v>Middle-Aged (40-59)</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_xlfn.IFS(L337&gt;=60, "Senior (60+)", L337&gt;=40, "Middle-Aged (40-59)", L337&gt;=20, "Young Adult (20-39)")</f>
        <v>Young Adult (20-39)</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_xlfn.IFS(L338&gt;=60, "Senior (60+)", L338&gt;=40, "Middle-Aged (40-59)", L338&gt;=20, "Young Adult (20-39)")</f>
        <v>Young Adult (20-39)</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_xlfn.IFS(L339&gt;=60, "Senior (60+)", L339&gt;=40, "Middle-Aged (40-59)", L339&gt;=20, "Young Adult (20-39)")</f>
        <v>Young Adult (20-39)</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_xlfn.IFS(L340&gt;=60, "Senior (60+)", L340&gt;=40, "Middle-Aged (40-59)", L340&gt;=20, "Young Adult (20-39)")</f>
        <v>Middle-Aged (40-59)</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_xlfn.IFS(L341&gt;=60, "Senior (60+)", L341&gt;=40, "Middle-Aged (40-59)", L341&gt;=20, "Young Adult (20-39)")</f>
        <v>Senior (60+)</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_xlfn.IFS(L342&gt;=60, "Senior (60+)", L342&gt;=40, "Middle-Aged (40-59)", L342&gt;=20, "Young Adult (20-39)")</f>
        <v>Young Adult (20-39)</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_xlfn.IFS(L343&gt;=60, "Senior (60+)", L343&gt;=40, "Middle-Aged (40-59)", L343&gt;=20, "Young Adult (20-39)")</f>
        <v>Young Adult (20-39)</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_xlfn.IFS(L344&gt;=60, "Senior (60+)", L344&gt;=40, "Middle-Aged (40-59)", L344&gt;=20, "Young Adult (20-39)")</f>
        <v>Young Adult (20-39)</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_xlfn.IFS(L345&gt;=60, "Senior (60+)", L345&gt;=40, "Middle-Aged (40-59)", L345&gt;=20, "Young Adult (20-39)")</f>
        <v>Young Adult (20-39)</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_xlfn.IFS(L346&gt;=60, "Senior (60+)", L346&gt;=40, "Middle-Aged (40-59)", L346&gt;=20, "Young Adult (20-39)")</f>
        <v>Young Adult (20-39)</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_xlfn.IFS(L347&gt;=60, "Senior (60+)", L347&gt;=40, "Middle-Aged (40-59)", L347&gt;=20, "Young Adult (20-39)")</f>
        <v>Middle-Aged (40-59)</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_xlfn.IFS(L348&gt;=60, "Senior (60+)", L348&gt;=40, "Middle-Aged (40-59)", L348&gt;=20, "Young Adult (20-39)")</f>
        <v>Middle-Aged (40-59)</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_xlfn.IFS(L349&gt;=60, "Senior (60+)", L349&gt;=40, "Middle-Aged (40-59)", L349&gt;=20, "Young Adult (20-39)")</f>
        <v>Middle-Aged (40-59)</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_xlfn.IFS(L350&gt;=60, "Senior (60+)", L350&gt;=40, "Middle-Aged (40-59)", L350&gt;=20, "Young Adult (20-39)")</f>
        <v>Middle-Aged (40-59)</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_xlfn.IFS(L351&gt;=60, "Senior (60+)", L351&gt;=40, "Middle-Aged (40-59)", L351&gt;=20, "Young Adult (20-39)")</f>
        <v>Young Adult (20-39)</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_xlfn.IFS(L352&gt;=60, "Senior (60+)", L352&gt;=40, "Middle-Aged (40-59)", L352&gt;=20, "Young Adult (20-39)")</f>
        <v>Young Adult (20-39)</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_xlfn.IFS(L353&gt;=60, "Senior (60+)", L353&gt;=40, "Middle-Aged (40-59)", L353&gt;=20, "Young Adult (20-39)")</f>
        <v>Young Adult (20-39)</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_xlfn.IFS(L354&gt;=60, "Senior (60+)", L354&gt;=40, "Middle-Aged (40-59)", L354&gt;=20, "Young Adult (20-39)")</f>
        <v>Middle-Aged (40-59)</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_xlfn.IFS(L355&gt;=60, "Senior (60+)", L355&gt;=40, "Middle-Aged (40-59)", L355&gt;=20, "Young Adult (20-39)")</f>
        <v>Young Adult (20-39)</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_xlfn.IFS(L356&gt;=60, "Senior (60+)", L356&gt;=40, "Middle-Aged (40-59)", L356&gt;=20, "Young Adult (20-39)")</f>
        <v>Young Adult (20-39)</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_xlfn.IFS(L357&gt;=60, "Senior (60+)", L357&gt;=40, "Middle-Aged (40-59)", L357&gt;=20, "Young Adult (20-39)")</f>
        <v>Young Adult (20-39)</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_xlfn.IFS(L358&gt;=60, "Senior (60+)", L358&gt;=40, "Middle-Aged (40-59)", L358&gt;=20, "Young Adult (20-39)")</f>
        <v>Middle-Aged (40-59)</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_xlfn.IFS(L359&gt;=60, "Senior (60+)", L359&gt;=40, "Middle-Aged (40-59)", L359&gt;=20, "Young Adult (20-39)")</f>
        <v>Young Adult (20-39)</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_xlfn.IFS(L360&gt;=60, "Senior (60+)", L360&gt;=40, "Middle-Aged (40-59)", L360&gt;=20, "Young Adult (20-39)")</f>
        <v>Middle-Aged (40-59)</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_xlfn.IFS(L361&gt;=60, "Senior (60+)", L361&gt;=40, "Middle-Aged (40-59)", L361&gt;=20, "Young Adult (20-39)")</f>
        <v>Young Adult (20-39)</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_xlfn.IFS(L362&gt;=60, "Senior (60+)", L362&gt;=40, "Middle-Aged (40-59)", L362&gt;=20, "Young Adult (20-39)")</f>
        <v>Middle-Aged (40-59)</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_xlfn.IFS(L363&gt;=60, "Senior (60+)", L363&gt;=40, "Middle-Aged (40-59)", L363&gt;=20, "Young Adult (20-39)")</f>
        <v>Young Adult (20-39)</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_xlfn.IFS(L364&gt;=60, "Senior (60+)", L364&gt;=40, "Middle-Aged (40-59)", L364&gt;=20, "Young Adult (20-39)")</f>
        <v>Young Adult (20-39)</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_xlfn.IFS(L365&gt;=60, "Senior (60+)", L365&gt;=40, "Middle-Aged (40-59)", L365&gt;=20, "Young Adult (20-39)")</f>
        <v>Senior (60+)</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_xlfn.IFS(L366&gt;=60, "Senior (60+)", L366&gt;=40, "Middle-Aged (40-59)", L366&gt;=20, "Young Adult (20-39)")</f>
        <v>Young Adult (20-39)</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_xlfn.IFS(L367&gt;=60, "Senior (60+)", L367&gt;=40, "Middle-Aged (40-59)", L367&gt;=20, "Young Adult (20-39)")</f>
        <v>Young Adult (20-39)</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_xlfn.IFS(L368&gt;=60, "Senior (60+)", L368&gt;=40, "Middle-Aged (40-59)", L368&gt;=20, "Young Adult (20-39)")</f>
        <v>Middle-Aged (40-59)</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_xlfn.IFS(L369&gt;=60, "Senior (60+)", L369&gt;=40, "Middle-Aged (40-59)", L369&gt;=20, "Young Adult (20-39)")</f>
        <v>Middle-Aged (40-59)</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_xlfn.IFS(L370&gt;=60, "Senior (60+)", L370&gt;=40, "Middle-Aged (40-59)", L370&gt;=20, "Young Adult (20-39)")</f>
        <v>Senior (60+)</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_xlfn.IFS(L371&gt;=60, "Senior (60+)", L371&gt;=40, "Middle-Aged (40-59)", L371&gt;=20, "Young Adult (20-39)")</f>
        <v>Middle-Aged (40-59)</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_xlfn.IFS(L372&gt;=60, "Senior (60+)", L372&gt;=40, "Middle-Aged (40-59)", L372&gt;=20, "Young Adult (20-39)")</f>
        <v>Middle-Aged (40-59)</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_xlfn.IFS(L373&gt;=60, "Senior (60+)", L373&gt;=40, "Middle-Aged (40-59)", L373&gt;=20, "Young Adult (20-39)")</f>
        <v>Middle-Aged (40-59)</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_xlfn.IFS(L374&gt;=60, "Senior (60+)", L374&gt;=40, "Middle-Aged (40-59)", L374&gt;=20, "Young Adult (20-39)")</f>
        <v>Middle-Aged (40-59)</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_xlfn.IFS(L375&gt;=60, "Senior (60+)", L375&gt;=40, "Middle-Aged (40-59)", L375&gt;=20, "Young Adult (20-39)")</f>
        <v>Young Adult (20-39)</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_xlfn.IFS(L376&gt;=60, "Senior (60+)", L376&gt;=40, "Middle-Aged (40-59)", L376&gt;=20, "Young Adult (20-39)")</f>
        <v>Young Adult (20-39)</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_xlfn.IFS(L377&gt;=60, "Senior (60+)", L377&gt;=40, "Middle-Aged (40-59)", L377&gt;=20, "Young Adult (20-39)")</f>
        <v>Senior (60+)</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_xlfn.IFS(L378&gt;=60, "Senior (60+)", L378&gt;=40, "Middle-Aged (40-59)", L378&gt;=20, "Young Adult (20-39)")</f>
        <v>Senior (60+)</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_xlfn.IFS(L379&gt;=60, "Senior (60+)", L379&gt;=40, "Middle-Aged (40-59)", L379&gt;=20, "Young Adult (20-39)")</f>
        <v>Middle-Aged (40-59)</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_xlfn.IFS(L380&gt;=60, "Senior (60+)", L380&gt;=40, "Middle-Aged (40-59)", L380&gt;=20, "Young Adult (20-39)")</f>
        <v>Middle-Aged (40-59)</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_xlfn.IFS(L381&gt;=60, "Senior (60+)", L381&gt;=40, "Middle-Aged (40-59)", L381&gt;=20, "Young Adult (20-39)")</f>
        <v>Middle-Aged (40-59)</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_xlfn.IFS(L382&gt;=60, "Senior (60+)", L382&gt;=40, "Middle-Aged (40-59)", L382&gt;=20, "Young Adult (20-39)")</f>
        <v>Young Adult (20-39)</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_xlfn.IFS(L383&gt;=60, "Senior (60+)", L383&gt;=40, "Middle-Aged (40-59)", L383&gt;=20, "Young Adult (20-39)")</f>
        <v>Senior (60+)</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_xlfn.IFS(L384&gt;=60, "Senior (60+)", L384&gt;=40, "Middle-Aged (40-59)", L384&gt;=20, "Young Adult (20-39)")</f>
        <v>Middle-Aged (40-59)</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_xlfn.IFS(L385&gt;=60, "Senior (60+)", L385&gt;=40, "Middle-Aged (40-59)", L385&gt;=20, "Young Adult (20-39)")</f>
        <v>Young Adult (20-39)</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_xlfn.IFS(L386&gt;=60, "Senior (60+)", L386&gt;=40, "Middle-Aged (40-59)", L386&gt;=20, "Young Adult (20-39)")</f>
        <v>Young Adult (20-39)</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_xlfn.IFS(L387&gt;=60, "Senior (60+)", L387&gt;=40, "Middle-Aged (40-59)", L387&gt;=20, "Young Adult (20-39)")</f>
        <v>Middle-Aged (40-59)</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_xlfn.IFS(L388&gt;=60, "Senior (60+)", L388&gt;=40, "Middle-Aged (40-59)", L388&gt;=20, "Young Adult (20-39)")</f>
        <v>Young Adult (20-39)</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_xlfn.IFS(L389&gt;=60, "Senior (60+)", L389&gt;=40, "Middle-Aged (40-59)", L389&gt;=20, "Young Adult (20-39)")</f>
        <v>Young Adult (20-39)</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_xlfn.IFS(L390&gt;=60, "Senior (60+)", L390&gt;=40, "Middle-Aged (40-59)", L390&gt;=20, "Young Adult (20-39)")</f>
        <v>Senior (60+)</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_xlfn.IFS(L391&gt;=60, "Senior (60+)", L391&gt;=40, "Middle-Aged (40-59)", L391&gt;=20, "Young Adult (20-39)")</f>
        <v>Middle-Aged (40-59)</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_xlfn.IFS(L392&gt;=60, "Senior (60+)", L392&gt;=40, "Middle-Aged (40-59)", L392&gt;=20, "Young Adult (20-39)")</f>
        <v>Young Adult (20-39)</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_xlfn.IFS(L393&gt;=60, "Senior (60+)", L393&gt;=40, "Middle-Aged (40-59)", L393&gt;=20, "Young Adult (20-39)")</f>
        <v>Middle-Aged (40-59)</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_xlfn.IFS(L394&gt;=60, "Senior (60+)", L394&gt;=40, "Middle-Aged (40-59)", L394&gt;=20, "Young Adult (20-39)")</f>
        <v>Middle-Aged (40-59)</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_xlfn.IFS(L395&gt;=60, "Senior (60+)", L395&gt;=40, "Middle-Aged (40-59)", L395&gt;=20, "Young Adult (20-39)")</f>
        <v>Young Adult (20-39)</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_xlfn.IFS(L396&gt;=60, "Senior (60+)", L396&gt;=40, "Middle-Aged (40-59)", L396&gt;=20, "Young Adult (20-39)")</f>
        <v>Young Adult (20-39)</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_xlfn.IFS(L397&gt;=60, "Senior (60+)", L397&gt;=40, "Middle-Aged (40-59)", L397&gt;=20, "Young Adult (20-39)")</f>
        <v>Young Adult (20-39)</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_xlfn.IFS(L398&gt;=60, "Senior (60+)", L398&gt;=40, "Middle-Aged (40-59)", L398&gt;=20, "Young Adult (20-39)")</f>
        <v>Young Adult (20-39)</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_xlfn.IFS(L399&gt;=60, "Senior (60+)", L399&gt;=40, "Middle-Aged (40-59)", L399&gt;=20, "Young Adult (20-39)")</f>
        <v>Middle-Aged (40-59)</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_xlfn.IFS(L400&gt;=60, "Senior (60+)", L400&gt;=40, "Middle-Aged (40-59)", L400&gt;=20, "Young Adult (20-39)")</f>
        <v>Young Adult (20-39)</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_xlfn.IFS(L401&gt;=60, "Senior (60+)", L401&gt;=40, "Middle-Aged (40-59)", L401&gt;=20, "Young Adult (20-39)")</f>
        <v>Middle-Aged (40-59)</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_xlfn.IFS(L402&gt;=60, "Senior (60+)", L402&gt;=40, "Middle-Aged (40-59)", L402&gt;=20, "Young Adult (20-39)")</f>
        <v>Middle-Aged (40-59)</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_xlfn.IFS(L403&gt;=60, "Senior (60+)", L403&gt;=40, "Middle-Aged (40-59)", L403&gt;=20, "Young Adult (20-39)")</f>
        <v>Senior (60+)</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_xlfn.IFS(L404&gt;=60, "Senior (60+)", L404&gt;=40, "Middle-Aged (40-59)", L404&gt;=20, "Young Adult (20-39)")</f>
        <v>Middle-Aged (40-59)</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_xlfn.IFS(L405&gt;=60, "Senior (60+)", L405&gt;=40, "Middle-Aged (40-59)", L405&gt;=20, "Young Adult (20-39)")</f>
        <v>Middle-Aged (40-59)</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_xlfn.IFS(L406&gt;=60, "Senior (60+)", L406&gt;=40, "Middle-Aged (40-59)", L406&gt;=20, "Young Adult (20-39)")</f>
        <v>Middle-Aged (40-59)</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_xlfn.IFS(L407&gt;=60, "Senior (60+)", L407&gt;=40, "Middle-Aged (40-59)", L407&gt;=20, "Young Adult (20-39)")</f>
        <v>Young Adult (20-39)</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_xlfn.IFS(L408&gt;=60, "Senior (60+)", L408&gt;=40, "Middle-Aged (40-59)", L408&gt;=20, "Young Adult (20-39)")</f>
        <v>Middle-Aged (40-59)</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_xlfn.IFS(L409&gt;=60, "Senior (60+)", L409&gt;=40, "Middle-Aged (40-59)", L409&gt;=20, "Young Adult (20-39)")</f>
        <v>Young Adult (20-39)</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_xlfn.IFS(L410&gt;=60, "Senior (60+)", L410&gt;=40, "Middle-Aged (40-59)", L410&gt;=20, "Young Adult (20-39)")</f>
        <v>Young Adult (20-39)</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_xlfn.IFS(L411&gt;=60, "Senior (60+)", L411&gt;=40, "Middle-Aged (40-59)", L411&gt;=20, "Young Adult (20-39)")</f>
        <v>Middle-Aged (40-59)</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_xlfn.IFS(L412&gt;=60, "Senior (60+)", L412&gt;=40, "Middle-Aged (40-59)", L412&gt;=20, "Young Adult (20-39)")</f>
        <v>Middle-Aged (40-59)</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_xlfn.IFS(L413&gt;=60, "Senior (60+)", L413&gt;=40, "Middle-Aged (40-59)", L413&gt;=20, "Young Adult (20-39)")</f>
        <v>Middle-Aged (40-59)</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_xlfn.IFS(L414&gt;=60, "Senior (60+)", L414&gt;=40, "Middle-Aged (40-59)", L414&gt;=20, "Young Adult (20-39)")</f>
        <v>Young Adult (20-39)</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_xlfn.IFS(L415&gt;=60, "Senior (60+)", L415&gt;=40, "Middle-Aged (40-59)", L415&gt;=20, "Young Adult (20-39)")</f>
        <v>Senior (60+)</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_xlfn.IFS(L416&gt;=60, "Senior (60+)", L416&gt;=40, "Middle-Aged (40-59)", L416&gt;=20, "Young Adult (20-39)")</f>
        <v>Young Adult (20-39)</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_xlfn.IFS(L417&gt;=60, "Senior (60+)", L417&gt;=40, "Middle-Aged (40-59)", L417&gt;=20, "Young Adult (20-39)")</f>
        <v>Middle-Aged (40-59)</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_xlfn.IFS(L418&gt;=60, "Senior (60+)", L418&gt;=40, "Middle-Aged (40-59)", L418&gt;=20, "Young Adult (20-39)")</f>
        <v>Young Adult (20-39)</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_xlfn.IFS(L419&gt;=60, "Senior (60+)", L419&gt;=40, "Middle-Aged (40-59)", L419&gt;=20, "Young Adult (20-39)")</f>
        <v>Senior (60+)</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_xlfn.IFS(L420&gt;=60, "Senior (60+)", L420&gt;=40, "Middle-Aged (40-59)", L420&gt;=20, "Young Adult (20-39)")</f>
        <v>Middle-Aged (40-59)</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_xlfn.IFS(L421&gt;=60, "Senior (60+)", L421&gt;=40, "Middle-Aged (40-59)", L421&gt;=20, "Young Adult (20-39)")</f>
        <v>Middle-Aged (40-59)</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_xlfn.IFS(L422&gt;=60, "Senior (60+)", L422&gt;=40, "Middle-Aged (40-59)", L422&gt;=20, "Young Adult (20-39)")</f>
        <v>Middle-Aged (40-59)</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_xlfn.IFS(L423&gt;=60, "Senior (60+)", L423&gt;=40, "Middle-Aged (40-59)", L423&gt;=20, "Young Adult (20-39)")</f>
        <v>Middle-Aged (40-59)</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_xlfn.IFS(L424&gt;=60, "Senior (60+)", L424&gt;=40, "Middle-Aged (40-59)", L424&gt;=20, "Young Adult (20-39)")</f>
        <v>Young Adult (20-39)</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_xlfn.IFS(L425&gt;=60, "Senior (60+)", L425&gt;=40, "Middle-Aged (40-59)", L425&gt;=20, "Young Adult (20-39)")</f>
        <v>Young Adult (20-39)</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_xlfn.IFS(L426&gt;=60, "Senior (60+)", L426&gt;=40, "Middle-Aged (40-59)", L426&gt;=20, "Young Adult (20-39)")</f>
        <v>Middle-Aged (40-59)</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_xlfn.IFS(L427&gt;=60, "Senior (60+)", L427&gt;=40, "Middle-Aged (40-59)", L427&gt;=20, "Young Adult (20-39)")</f>
        <v>Senior (60+)</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_xlfn.IFS(L428&gt;=60, "Senior (60+)", L428&gt;=40, "Middle-Aged (40-59)", L428&gt;=20, "Young Adult (20-39)")</f>
        <v>Young Adult (20-39)</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_xlfn.IFS(L429&gt;=60, "Senior (60+)", L429&gt;=40, "Middle-Aged (40-59)", L429&gt;=20, "Young Adult (20-39)")</f>
        <v>Young Adult (20-39)</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_xlfn.IFS(L430&gt;=60, "Senior (60+)", L430&gt;=40, "Middle-Aged (40-59)", L430&gt;=20, "Young Adult (20-39)")</f>
        <v>Middle-Aged (40-59)</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_xlfn.IFS(L431&gt;=60, "Senior (60+)", L431&gt;=40, "Middle-Aged (40-59)", L431&gt;=20, "Young Adult (20-39)")</f>
        <v>Young Adult (20-39)</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_xlfn.IFS(L432&gt;=60, "Senior (60+)", L432&gt;=40, "Middle-Aged (40-59)", L432&gt;=20, "Young Adult (20-39)")</f>
        <v>Middle-Aged (40-59)</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_xlfn.IFS(L433&gt;=60, "Senior (60+)", L433&gt;=40, "Middle-Aged (40-59)", L433&gt;=20, "Young Adult (20-39)")</f>
        <v>Young Adult (20-39)</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_xlfn.IFS(L434&gt;=60, "Senior (60+)", L434&gt;=40, "Middle-Aged (40-59)", L434&gt;=20, "Young Adult (20-39)")</f>
        <v>Young Adult (20-39)</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_xlfn.IFS(L435&gt;=60, "Senior (60+)", L435&gt;=40, "Middle-Aged (40-59)", L435&gt;=20, "Young Adult (20-39)")</f>
        <v>Young Adult (20-39)</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_xlfn.IFS(L436&gt;=60, "Senior (60+)", L436&gt;=40, "Middle-Aged (40-59)", L436&gt;=20, "Young Adult (20-39)")</f>
        <v>Middle-Aged (40-59)</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_xlfn.IFS(L437&gt;=60, "Senior (60+)", L437&gt;=40, "Middle-Aged (40-59)", L437&gt;=20, "Young Adult (20-39)")</f>
        <v>Senior (60+)</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_xlfn.IFS(L438&gt;=60, "Senior (60+)", L438&gt;=40, "Middle-Aged (40-59)", L438&gt;=20, "Young Adult (20-39)")</f>
        <v>Middle-Aged (40-59)</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_xlfn.IFS(L439&gt;=60, "Senior (60+)", L439&gt;=40, "Middle-Aged (40-59)", L439&gt;=20, "Young Adult (20-39)")</f>
        <v>Young Adult (20-39)</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_xlfn.IFS(L440&gt;=60, "Senior (60+)", L440&gt;=40, "Middle-Aged (40-59)", L440&gt;=20, "Young Adult (20-39)")</f>
        <v>Middle-Aged (40-59)</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_xlfn.IFS(L441&gt;=60, "Senior (60+)", L441&gt;=40, "Middle-Aged (40-59)", L441&gt;=20, "Young Adult (20-39)")</f>
        <v>Middle-Aged (40-59)</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_xlfn.IFS(L442&gt;=60, "Senior (60+)", L442&gt;=40, "Middle-Aged (40-59)", L442&gt;=20, "Young Adult (20-39)")</f>
        <v>Young Adult (20-39)</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_xlfn.IFS(L443&gt;=60, "Senior (60+)", L443&gt;=40, "Middle-Aged (40-59)", L443&gt;=20, "Young Adult (20-39)")</f>
        <v>Middle-Aged (40-59)</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_xlfn.IFS(L444&gt;=60, "Senior (60+)", L444&gt;=40, "Middle-Aged (40-59)", L444&gt;=20, "Young Adult (20-39)")</f>
        <v>Young Adult (20-39)</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_xlfn.IFS(L445&gt;=60, "Senior (60+)", L445&gt;=40, "Middle-Aged (40-59)", L445&gt;=20, "Young Adult (20-39)")</f>
        <v>Middle-Aged (40-59)</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_xlfn.IFS(L446&gt;=60, "Senior (60+)", L446&gt;=40, "Middle-Aged (40-59)", L446&gt;=20, "Young Adult (20-39)")</f>
        <v>Young Adult (20-39)</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_xlfn.IFS(L447&gt;=60, "Senior (60+)", L447&gt;=40, "Middle-Aged (40-59)", L447&gt;=20, "Young Adult (20-39)")</f>
        <v>Young Adult (20-39)</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_xlfn.IFS(L448&gt;=60, "Senior (60+)", L448&gt;=40, "Middle-Aged (40-59)", L448&gt;=20, "Young Adult (20-39)")</f>
        <v>Middle-Aged (40-59)</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_xlfn.IFS(L449&gt;=60, "Senior (60+)", L449&gt;=40, "Middle-Aged (40-59)", L449&gt;=20, "Young Adult (20-39)")</f>
        <v>Young Adult (20-39)</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_xlfn.IFS(L450&gt;=60, "Senior (60+)", L450&gt;=40, "Middle-Aged (40-59)", L450&gt;=20, "Young Adult (20-39)")</f>
        <v>Middle-Aged (40-59)</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_xlfn.IFS(L451&gt;=60, "Senior (60+)", L451&gt;=40, "Middle-Aged (40-59)", L451&gt;=20, "Young Adult (20-39)")</f>
        <v>Middle-Aged (40-59)</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_xlfn.IFS(L452&gt;=60, "Senior (60+)", L452&gt;=40, "Middle-Aged (40-59)", L452&gt;=20, "Young Adult (20-39)")</f>
        <v>Young Adult (20-39)</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_xlfn.IFS(L453&gt;=60, "Senior (60+)", L453&gt;=40, "Middle-Aged (40-59)", L453&gt;=20, "Young Adult (20-39)")</f>
        <v>Middle-Aged (40-59)</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_xlfn.IFS(L454&gt;=60, "Senior (60+)", L454&gt;=40, "Middle-Aged (40-59)", L454&gt;=20, "Young Adult (20-39)")</f>
        <v>Senior (60+)</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_xlfn.IFS(L455&gt;=60, "Senior (60+)", L455&gt;=40, "Middle-Aged (40-59)", L455&gt;=20, "Young Adult (20-39)")</f>
        <v>Middle-Aged (40-59)</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_xlfn.IFS(L456&gt;=60, "Senior (60+)", L456&gt;=40, "Middle-Aged (40-59)", L456&gt;=20, "Young Adult (20-39)")</f>
        <v>Young Adult (20-39)</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_xlfn.IFS(L457&gt;=60, "Senior (60+)", L457&gt;=40, "Middle-Aged (40-59)", L457&gt;=20, "Young Adult (20-39)")</f>
        <v>Middle-Aged (40-59)</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_xlfn.IFS(L458&gt;=60, "Senior (60+)", L458&gt;=40, "Middle-Aged (40-59)", L458&gt;=20, "Young Adult (20-39)")</f>
        <v>Middle-Aged (40-59)</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_xlfn.IFS(L459&gt;=60, "Senior (60+)", L459&gt;=40, "Middle-Aged (40-59)", L459&gt;=20, "Young Adult (20-39)")</f>
        <v>Senior (60+)</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_xlfn.IFS(L460&gt;=60, "Senior (60+)", L460&gt;=40, "Middle-Aged (40-59)", L460&gt;=20, "Young Adult (20-39)")</f>
        <v>Young Adult (20-39)</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_xlfn.IFS(L461&gt;=60, "Senior (60+)", L461&gt;=40, "Middle-Aged (40-59)", L461&gt;=20, "Young Adult (20-39)")</f>
        <v>Young Adult (20-39)</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_xlfn.IFS(L462&gt;=60, "Senior (60+)", L462&gt;=40, "Middle-Aged (40-59)", L462&gt;=20, "Young Adult (20-39)")</f>
        <v>Young Adult (20-39)</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_xlfn.IFS(L463&gt;=60, "Senior (60+)", L463&gt;=40, "Middle-Aged (40-59)", L463&gt;=20, "Young Adult (20-39)")</f>
        <v>Middle-Aged (40-59)</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_xlfn.IFS(L464&gt;=60, "Senior (60+)", L464&gt;=40, "Middle-Aged (40-59)", L464&gt;=20, "Young Adult (20-39)")</f>
        <v>Young Adult (20-39)</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_xlfn.IFS(L465&gt;=60, "Senior (60+)", L465&gt;=40, "Middle-Aged (40-59)", L465&gt;=20, "Young Adult (20-39)")</f>
        <v>Middle-Aged (40-59)</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_xlfn.IFS(L466&gt;=60, "Senior (60+)", L466&gt;=40, "Middle-Aged (40-59)", L466&gt;=20, "Young Adult (20-39)")</f>
        <v>Middle-Aged (40-59)</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_xlfn.IFS(L467&gt;=60, "Senior (60+)", L467&gt;=40, "Middle-Aged (40-59)", L467&gt;=20, "Young Adult (20-39)")</f>
        <v>Senior (60+)</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_xlfn.IFS(L468&gt;=60, "Senior (60+)", L468&gt;=40, "Middle-Aged (40-59)", L468&gt;=20, "Young Adult (20-39)")</f>
        <v>Middle-Aged (40-59)</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_xlfn.IFS(L469&gt;=60, "Senior (60+)", L469&gt;=40, "Middle-Aged (40-59)", L469&gt;=20, "Young Adult (20-39)")</f>
        <v>Middle-Aged (40-59)</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_xlfn.IFS(L470&gt;=60, "Senior (60+)", L470&gt;=40, "Middle-Aged (40-59)", L470&gt;=20, "Young Adult (20-39)")</f>
        <v>Middle-Aged (40-59)</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_xlfn.IFS(L471&gt;=60, "Senior (60+)", L471&gt;=40, "Middle-Aged (40-59)", L471&gt;=20, "Young Adult (20-39)")</f>
        <v>Senior (60+)</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_xlfn.IFS(L472&gt;=60, "Senior (60+)", L472&gt;=40, "Middle-Aged (40-59)", L472&gt;=20, "Young Adult (20-39)")</f>
        <v>Young Adult (20-39)</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_xlfn.IFS(L473&gt;=60, "Senior (60+)", L473&gt;=40, "Middle-Aged (40-59)", L473&gt;=20, "Young Adult (20-39)")</f>
        <v>Middle-Aged (40-59)</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_xlfn.IFS(L474&gt;=60, "Senior (60+)", L474&gt;=40, "Middle-Aged (40-59)", L474&gt;=20, "Young Adult (20-39)")</f>
        <v>Young Adult (20-39)</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_xlfn.IFS(L475&gt;=60, "Senior (60+)", L475&gt;=40, "Middle-Aged (40-59)", L475&gt;=20, "Young Adult (20-39)")</f>
        <v>Middle-Aged (40-59)</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_xlfn.IFS(L476&gt;=60, "Senior (60+)", L476&gt;=40, "Middle-Aged (40-59)", L476&gt;=20, "Young Adult (20-39)")</f>
        <v>Young Adult (20-39)</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_xlfn.IFS(L477&gt;=60, "Senior (60+)", L477&gt;=40, "Middle-Aged (40-59)", L477&gt;=20, "Young Adult (20-39)")</f>
        <v>Senior (60+)</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_xlfn.IFS(L478&gt;=60, "Senior (60+)", L478&gt;=40, "Middle-Aged (40-59)", L478&gt;=20, "Young Adult (20-39)")</f>
        <v>Middle-Aged (40-59)</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_xlfn.IFS(L479&gt;=60, "Senior (60+)", L479&gt;=40, "Middle-Aged (40-59)", L479&gt;=20, "Young Adult (20-39)")</f>
        <v>Middle-Aged (40-59)</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_xlfn.IFS(L480&gt;=60, "Senior (60+)", L480&gt;=40, "Middle-Aged (40-59)", L480&gt;=20, "Young Adult (20-39)")</f>
        <v>Young Adult (20-39)</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_xlfn.IFS(L481&gt;=60, "Senior (60+)", L481&gt;=40, "Middle-Aged (40-59)", L481&gt;=20, "Young Adult (20-39)")</f>
        <v>Young Adult (20-39)</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_xlfn.IFS(L482&gt;=60, "Senior (60+)", L482&gt;=40, "Middle-Aged (40-59)", L482&gt;=20, "Young Adult (20-39)")</f>
        <v>Middle-Aged (40-59)</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_xlfn.IFS(L483&gt;=60, "Senior (60+)", L483&gt;=40, "Middle-Aged (40-59)", L483&gt;=20, "Young Adult (20-39)")</f>
        <v>Young Adult (20-39)</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_xlfn.IFS(L484&gt;=60, "Senior (60+)", L484&gt;=40, "Middle-Aged (40-59)", L484&gt;=20, "Young Adult (20-39)")</f>
        <v>Young Adult (20-39)</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_xlfn.IFS(L485&gt;=60, "Senior (60+)", L485&gt;=40, "Middle-Aged (40-59)", L485&gt;=20, "Young Adult (20-39)")</f>
        <v>Senior (60+)</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_xlfn.IFS(L486&gt;=60, "Senior (60+)", L486&gt;=40, "Middle-Aged (40-59)", L486&gt;=20, "Young Adult (20-39)")</f>
        <v>Young Adult (20-39)</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_xlfn.IFS(L487&gt;=60, "Senior (60+)", L487&gt;=40, "Middle-Aged (40-59)", L487&gt;=20, "Young Adult (20-39)")</f>
        <v>Middle-Aged (40-59)</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_xlfn.IFS(L488&gt;=60, "Senior (60+)", L488&gt;=40, "Middle-Aged (40-59)", L488&gt;=20, "Young Adult (20-39)")</f>
        <v>Middle-Aged (40-59)</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_xlfn.IFS(L489&gt;=60, "Senior (60+)", L489&gt;=40, "Middle-Aged (40-59)", L489&gt;=20, "Young Adult (20-39)")</f>
        <v>Young Adult (20-39)</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_xlfn.IFS(L490&gt;=60, "Senior (60+)", L490&gt;=40, "Middle-Aged (40-59)", L490&gt;=20, "Young Adult (20-39)")</f>
        <v>Young Adult (20-39)</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_xlfn.IFS(L491&gt;=60, "Senior (60+)", L491&gt;=40, "Middle-Aged (40-59)", L491&gt;=20, "Young Adult (20-39)")</f>
        <v>Young Adult (20-39)</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_xlfn.IFS(L492&gt;=60, "Senior (60+)", L492&gt;=40, "Middle-Aged (40-59)", L492&gt;=20, "Young Adult (20-39)")</f>
        <v>Middle-Aged (40-59)</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_xlfn.IFS(L493&gt;=60, "Senior (60+)", L493&gt;=40, "Middle-Aged (40-59)", L493&gt;=20, "Young Adult (20-39)")</f>
        <v>Middle-Aged (40-59)</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_xlfn.IFS(L494&gt;=60, "Senior (60+)", L494&gt;=40, "Middle-Aged (40-59)", L494&gt;=20, "Young Adult (20-39)")</f>
        <v>Young Adult (20-39)</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_xlfn.IFS(L495&gt;=60, "Senior (60+)", L495&gt;=40, "Middle-Aged (40-59)", L495&gt;=20, "Young Adult (20-39)")</f>
        <v>Senior (60+)</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_xlfn.IFS(L496&gt;=60, "Senior (60+)", L496&gt;=40, "Middle-Aged (40-59)", L496&gt;=20, "Young Adult (20-39)")</f>
        <v>Middle-Aged (40-59)</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_xlfn.IFS(L497&gt;=60, "Senior (60+)", L497&gt;=40, "Middle-Aged (40-59)", L497&gt;=20, "Young Adult (20-39)")</f>
        <v>Middle-Aged (40-59)</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_xlfn.IFS(L498&gt;=60, "Senior (60+)", L498&gt;=40, "Middle-Aged (40-59)", L498&gt;=20, "Young Adult (20-39)")</f>
        <v>Middle-Aged (40-59)</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_xlfn.IFS(L499&gt;=60, "Senior (60+)", L499&gt;=40, "Middle-Aged (40-59)", L499&gt;=20, "Young Adult (20-39)")</f>
        <v>Young Adult (20-39)</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_xlfn.IFS(L500&gt;=60, "Senior (60+)", L500&gt;=40, "Middle-Aged (40-59)", L500&gt;=20, "Young Adult (20-39)")</f>
        <v>Middle-Aged (40-59)</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_xlfn.IFS(L501&gt;=60, "Senior (60+)", L501&gt;=40, "Middle-Aged (40-59)", L501&gt;=20, "Young Adult (20-39)")</f>
        <v>Young Adult (20-39)</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_xlfn.IFS(L502&gt;=60, "Senior (60+)", L502&gt;=40, "Middle-Aged (40-59)", L502&gt;=20, "Young Adult (20-39)")</f>
        <v>Middle-Aged (40-59)</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_xlfn.IFS(L503&gt;=60, "Senior (60+)", L503&gt;=40, "Middle-Aged (40-59)", L503&gt;=20, "Young Adult (20-39)")</f>
        <v>Young Adult (20-39)</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_xlfn.IFS(L504&gt;=60, "Senior (60+)", L504&gt;=40, "Middle-Aged (40-59)", L504&gt;=20, "Young Adult (20-39)")</f>
        <v>Young Adult (20-39)</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_xlfn.IFS(L505&gt;=60, "Senior (60+)", L505&gt;=40, "Middle-Aged (40-59)", L505&gt;=20, "Young Adult (20-39)")</f>
        <v>Middle-Aged (40-59)</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_xlfn.IFS(L506&gt;=60, "Senior (60+)", L506&gt;=40, "Middle-Aged (40-59)", L506&gt;=20, "Young Adult (20-39)")</f>
        <v>Young Adult (20-39)</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_xlfn.IFS(L507&gt;=60, "Senior (60+)", L507&gt;=40, "Middle-Aged (40-59)", L507&gt;=20, "Young Adult (20-39)")</f>
        <v>Middle-Aged (40-59)</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_xlfn.IFS(L508&gt;=60, "Senior (60+)", L508&gt;=40, "Middle-Aged (40-59)", L508&gt;=20, "Young Adult (20-39)")</f>
        <v>Middle-Aged (40-59)</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_xlfn.IFS(L509&gt;=60, "Senior (60+)", L509&gt;=40, "Middle-Aged (40-59)", L509&gt;=20, "Young Adult (20-39)")</f>
        <v>Middle-Aged (40-59)</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_xlfn.IFS(L510&gt;=60, "Senior (60+)", L510&gt;=40, "Middle-Aged (40-59)", L510&gt;=20, "Young Adult (20-39)")</f>
        <v>Young Adult (20-39)</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_xlfn.IFS(L511&gt;=60, "Senior (60+)", L511&gt;=40, "Middle-Aged (40-59)", L511&gt;=20, "Young Adult (20-39)")</f>
        <v>Middle-Aged (40-59)</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_xlfn.IFS(L512&gt;=60, "Senior (60+)", L512&gt;=40, "Middle-Aged (40-59)", L512&gt;=20, "Young Adult (20-39)")</f>
        <v>Young Adult (20-39)</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_xlfn.IFS(L513&gt;=60, "Senior (60+)", L513&gt;=40, "Middle-Aged (40-59)", L513&gt;=20, "Young Adult (20-39)")</f>
        <v>Senior (60+)</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_xlfn.IFS(L514&gt;=60, "Senior (60+)", L514&gt;=40, "Middle-Aged (40-59)", L514&gt;=20, "Young Adult (20-39)")</f>
        <v>Middle-Aged (40-59)</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_xlfn.IFS(L515&gt;=60, "Senior (60+)", L515&gt;=40, "Middle-Aged (40-59)", L515&gt;=20, "Young Adult (20-39)")</f>
        <v>Senior (60+)</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_xlfn.IFS(L516&gt;=60, "Senior (60+)", L516&gt;=40, "Middle-Aged (40-59)", L516&gt;=20, "Young Adult (20-39)")</f>
        <v>Middle-Aged (40-59)</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_xlfn.IFS(L517&gt;=60, "Senior (60+)", L517&gt;=40, "Middle-Aged (40-59)", L517&gt;=20, "Young Adult (20-39)")</f>
        <v>Middle-Aged (40-59)</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_xlfn.IFS(L518&gt;=60, "Senior (60+)", L518&gt;=40, "Middle-Aged (40-59)", L518&gt;=20, "Young Adult (20-39)")</f>
        <v>Middle-Aged (40-59)</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_xlfn.IFS(L519&gt;=60, "Senior (60+)", L519&gt;=40, "Middle-Aged (40-59)", L519&gt;=20, "Young Adult (20-39)")</f>
        <v>Middle-Aged (40-59)</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_xlfn.IFS(L520&gt;=60, "Senior (60+)", L520&gt;=40, "Middle-Aged (40-59)", L520&gt;=20, "Young Adult (20-39)")</f>
        <v>Young Adult (20-39)</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_xlfn.IFS(L521&gt;=60, "Senior (60+)", L521&gt;=40, "Middle-Aged (40-59)", L521&gt;=20, "Young Adult (20-39)")</f>
        <v>Senior (60+)</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_xlfn.IFS(L522&gt;=60, "Senior (60+)", L522&gt;=40, "Middle-Aged (40-59)", L522&gt;=20, "Young Adult (20-39)")</f>
        <v>Middle-Aged (40-59)</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_xlfn.IFS(L523&gt;=60, "Senior (60+)", L523&gt;=40, "Middle-Aged (40-59)", L523&gt;=20, "Young Adult (20-39)")</f>
        <v>Senior (60+)</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_xlfn.IFS(L524&gt;=60, "Senior (60+)", L524&gt;=40, "Middle-Aged (40-59)", L524&gt;=20, "Young Adult (20-39)")</f>
        <v>Middle-Aged (40-59)</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_xlfn.IFS(L525&gt;=60, "Senior (60+)", L525&gt;=40, "Middle-Aged (40-59)", L525&gt;=20, "Young Adult (20-39)")</f>
        <v>Middle-Aged (40-59)</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_xlfn.IFS(L526&gt;=60, "Senior (60+)", L526&gt;=40, "Middle-Aged (40-59)", L526&gt;=20, "Young Adult (20-39)")</f>
        <v>Senior (60+)</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_xlfn.IFS(L527&gt;=60, "Senior (60+)", L527&gt;=40, "Middle-Aged (40-59)", L527&gt;=20, "Young Adult (20-39)")</f>
        <v>Middle-Aged (40-59)</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_xlfn.IFS(L528&gt;=60, "Senior (60+)", L528&gt;=40, "Middle-Aged (40-59)", L528&gt;=20, "Young Adult (20-39)")</f>
        <v>Middle-Aged (40-59)</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_xlfn.IFS(L529&gt;=60, "Senior (60+)", L529&gt;=40, "Middle-Aged (40-59)", L529&gt;=20, "Young Adult (20-39)")</f>
        <v>Young Adult (20-39)</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_xlfn.IFS(L530&gt;=60, "Senior (60+)", L530&gt;=40, "Middle-Aged (40-59)", L530&gt;=20, "Young Adult (20-39)")</f>
        <v>Young Adult (20-39)</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_xlfn.IFS(L531&gt;=60, "Senior (60+)", L531&gt;=40, "Middle-Aged (40-59)", L531&gt;=20, "Young Adult (20-39)")</f>
        <v>Middle-Aged (40-59)</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_xlfn.IFS(L532&gt;=60, "Senior (60+)", L532&gt;=40, "Middle-Aged (40-59)", L532&gt;=20, "Young Adult (20-39)")</f>
        <v>Young Adult (20-39)</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_xlfn.IFS(L533&gt;=60, "Senior (60+)", L533&gt;=40, "Middle-Aged (40-59)", L533&gt;=20, "Young Adult (20-39)")</f>
        <v>Young Adult (20-39)</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_xlfn.IFS(L534&gt;=60, "Senior (60+)", L534&gt;=40, "Middle-Aged (40-59)", L534&gt;=20, "Young Adult (20-39)")</f>
        <v>Middle-Aged (40-59)</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_xlfn.IFS(L535&gt;=60, "Senior (60+)", L535&gt;=40, "Middle-Aged (40-59)", L535&gt;=20, "Young Adult (20-39)")</f>
        <v>Senior (60+)</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_xlfn.IFS(L536&gt;=60, "Senior (60+)", L536&gt;=40, "Middle-Aged (40-59)", L536&gt;=20, "Young Adult (20-39)")</f>
        <v>Senior (60+)</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_xlfn.IFS(L537&gt;=60, "Senior (60+)", L537&gt;=40, "Middle-Aged (40-59)", L537&gt;=20, "Young Adult (20-39)")</f>
        <v>Middle-Aged (40-59)</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_xlfn.IFS(L538&gt;=60, "Senior (60+)", L538&gt;=40, "Middle-Aged (40-59)", L538&gt;=20, "Young Adult (20-39)")</f>
        <v>Middle-Aged (40-59)</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_xlfn.IFS(L539&gt;=60, "Senior (60+)", L539&gt;=40, "Middle-Aged (40-59)", L539&gt;=20, "Young Adult (20-39)")</f>
        <v>Middle-Aged (40-59)</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_xlfn.IFS(L540&gt;=60, "Senior (60+)", L540&gt;=40, "Middle-Aged (40-59)", L540&gt;=20, "Young Adult (20-39)")</f>
        <v>Middle-Aged (40-59)</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_xlfn.IFS(L541&gt;=60, "Senior (60+)", L541&gt;=40, "Middle-Aged (40-59)", L541&gt;=20, "Young Adult (20-39)")</f>
        <v>Young Adult (20-39)</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_xlfn.IFS(L542&gt;=60, "Senior (60+)", L542&gt;=40, "Middle-Aged (40-59)", L542&gt;=20, "Young Adult (20-39)")</f>
        <v>Middle-Aged (40-59)</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_xlfn.IFS(L543&gt;=60, "Senior (60+)", L543&gt;=40, "Middle-Aged (40-59)", L543&gt;=20, "Young Adult (20-39)")</f>
        <v>Young Adult (20-39)</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_xlfn.IFS(L544&gt;=60, "Senior (60+)", L544&gt;=40, "Middle-Aged (40-59)", L544&gt;=20, "Young Adult (20-39)")</f>
        <v>Young Adult (20-39)</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_xlfn.IFS(L545&gt;=60, "Senior (60+)", L545&gt;=40, "Middle-Aged (40-59)", L545&gt;=20, "Young Adult (20-39)")</f>
        <v>Middle-Aged (40-59)</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_xlfn.IFS(L546&gt;=60, "Senior (60+)", L546&gt;=40, "Middle-Aged (40-59)", L546&gt;=20, "Young Adult (20-39)")</f>
        <v>Middle-Aged (40-59)</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_xlfn.IFS(L547&gt;=60, "Senior (60+)", L547&gt;=40, "Middle-Aged (40-59)", L547&gt;=20, "Young Adult (20-39)")</f>
        <v>Young Adult (20-39)</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_xlfn.IFS(L548&gt;=60, "Senior (60+)", L548&gt;=40, "Middle-Aged (40-59)", L548&gt;=20, "Young Adult (20-39)")</f>
        <v>Middle-Aged (40-59)</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_xlfn.IFS(L549&gt;=60, "Senior (60+)", L549&gt;=40, "Middle-Aged (40-59)", L549&gt;=20, "Young Adult (20-39)")</f>
        <v>Middle-Aged (40-59)</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_xlfn.IFS(L550&gt;=60, "Senior (60+)", L550&gt;=40, "Middle-Aged (40-59)", L550&gt;=20, "Young Adult (20-39)")</f>
        <v>Middle-Aged (40-59)</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_xlfn.IFS(L551&gt;=60, "Senior (60+)", L551&gt;=40, "Middle-Aged (40-59)", L551&gt;=20, "Young Adult (20-39)")</f>
        <v>Middle-Aged (40-59)</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_xlfn.IFS(L552&gt;=60, "Senior (60+)", L552&gt;=40, "Middle-Aged (40-59)", L552&gt;=20, "Young Adult (20-39)")</f>
        <v>Middle-Aged (40-59)</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_xlfn.IFS(L553&gt;=60, "Senior (60+)", L553&gt;=40, "Middle-Aged (40-59)", L553&gt;=20, "Young Adult (20-39)")</f>
        <v>Senior (60+)</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_xlfn.IFS(L554&gt;=60, "Senior (60+)", L554&gt;=40, "Middle-Aged (40-59)", L554&gt;=20, "Young Adult (20-39)")</f>
        <v>Middle-Aged (40-59)</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_xlfn.IFS(L555&gt;=60, "Senior (60+)", L555&gt;=40, "Middle-Aged (40-59)", L555&gt;=20, "Young Adult (20-39)")</f>
        <v>Senior (60+)</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_xlfn.IFS(L556&gt;=60, "Senior (60+)", L556&gt;=40, "Middle-Aged (40-59)", L556&gt;=20, "Young Adult (20-39)")</f>
        <v>Middle-Aged (40-59)</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_xlfn.IFS(L557&gt;=60, "Senior (60+)", L557&gt;=40, "Middle-Aged (40-59)", L557&gt;=20, "Young Adult (20-39)")</f>
        <v>Young Adult (20-39)</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_xlfn.IFS(L558&gt;=60, "Senior (60+)", L558&gt;=40, "Middle-Aged (40-59)", L558&gt;=20, "Young Adult (20-39)")</f>
        <v>Middle-Aged (40-59)</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_xlfn.IFS(L559&gt;=60, "Senior (60+)", L559&gt;=40, "Middle-Aged (40-59)", L559&gt;=20, "Young Adult (20-39)")</f>
        <v>Young Adult (20-39)</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_xlfn.IFS(L560&gt;=60, "Senior (60+)", L560&gt;=40, "Middle-Aged (40-59)", L560&gt;=20, "Young Adult (20-39)")</f>
        <v>Middle-Aged (40-59)</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_xlfn.IFS(L561&gt;=60, "Senior (60+)", L561&gt;=40, "Middle-Aged (40-59)", L561&gt;=20, "Young Adult (20-39)")</f>
        <v>Middle-Aged (40-59)</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_xlfn.IFS(L562&gt;=60, "Senior (60+)", L562&gt;=40, "Middle-Aged (40-59)", L562&gt;=20, "Young Adult (20-39)")</f>
        <v>Middle-Aged (40-59)</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_xlfn.IFS(L563&gt;=60, "Senior (60+)", L563&gt;=40, "Middle-Aged (40-59)", L563&gt;=20, "Young Adult (20-39)")</f>
        <v>Middle-Aged (40-59)</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_xlfn.IFS(L564&gt;=60, "Senior (60+)", L564&gt;=40, "Middle-Aged (40-59)", L564&gt;=20, "Young Adult (20-39)")</f>
        <v>Young Adult (20-39)</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_xlfn.IFS(L565&gt;=60, "Senior (60+)", L565&gt;=40, "Middle-Aged (40-59)", L565&gt;=20, "Young Adult (20-39)")</f>
        <v>Young Adult (20-39)</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_xlfn.IFS(L566&gt;=60, "Senior (60+)", L566&gt;=40, "Middle-Aged (40-59)", L566&gt;=20, "Young Adult (20-39)")</f>
        <v>Young Adult (20-39)</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_xlfn.IFS(L567&gt;=60, "Senior (60+)", L567&gt;=40, "Middle-Aged (40-59)", L567&gt;=20, "Young Adult (20-39)")</f>
        <v>Middle-Aged (40-59)</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_xlfn.IFS(L568&gt;=60, "Senior (60+)", L568&gt;=40, "Middle-Aged (40-59)", L568&gt;=20, "Young Adult (20-39)")</f>
        <v>Senior (60+)</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_xlfn.IFS(L569&gt;=60, "Senior (60+)", L569&gt;=40, "Middle-Aged (40-59)", L569&gt;=20, "Young Adult (20-39)")</f>
        <v>Middle-Aged (40-59)</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_xlfn.IFS(L570&gt;=60, "Senior (60+)", L570&gt;=40, "Middle-Aged (40-59)", L570&gt;=20, "Young Adult (20-39)")</f>
        <v>Middle-Aged (40-59)</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_xlfn.IFS(L571&gt;=60, "Senior (60+)", L571&gt;=40, "Middle-Aged (40-59)", L571&gt;=20, "Young Adult (20-39)")</f>
        <v>Senior (60+)</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_xlfn.IFS(L572&gt;=60, "Senior (60+)", L572&gt;=40, "Middle-Aged (40-59)", L572&gt;=20, "Young Adult (20-39)")</f>
        <v>Middle-Aged (40-59)</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_xlfn.IFS(L573&gt;=60, "Senior (60+)", L573&gt;=40, "Middle-Aged (40-59)", L573&gt;=20, "Young Adult (20-39)")</f>
        <v>Middle-Aged (40-59)</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_xlfn.IFS(L574&gt;=60, "Senior (60+)", L574&gt;=40, "Middle-Aged (40-59)", L574&gt;=20, "Young Adult (20-39)")</f>
        <v>Young Adult (20-39)</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_xlfn.IFS(L575&gt;=60, "Senior (60+)", L575&gt;=40, "Middle-Aged (40-59)", L575&gt;=20, "Young Adult (20-39)")</f>
        <v>Senior (60+)</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_xlfn.IFS(L576&gt;=60, "Senior (60+)", L576&gt;=40, "Middle-Aged (40-59)", L576&gt;=20, "Young Adult (20-39)")</f>
        <v>Young Adult (20-39)</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_xlfn.IFS(L577&gt;=60, "Senior (60+)", L577&gt;=40, "Middle-Aged (40-59)", L577&gt;=20, "Young Adult (20-39)")</f>
        <v>Middle-Aged (40-59)</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_xlfn.IFS(L578&gt;=60, "Senior (60+)", L578&gt;=40, "Middle-Aged (40-59)", L578&gt;=20, "Young Adult (20-39)")</f>
        <v>Young Adult (20-39)</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_xlfn.IFS(L579&gt;=60, "Senior (60+)", L579&gt;=40, "Middle-Aged (40-59)", L579&gt;=20, "Young Adult (20-39)")</f>
        <v>Young Adult (20-39)</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_xlfn.IFS(L580&gt;=60, "Senior (60+)", L580&gt;=40, "Middle-Aged (40-59)", L580&gt;=20, "Young Adult (20-39)")</f>
        <v>Middle-Aged (40-59)</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_xlfn.IFS(L581&gt;=60, "Senior (60+)", L581&gt;=40, "Middle-Aged (40-59)", L581&gt;=20, "Young Adult (20-39)")</f>
        <v>Young Adult (20-39)</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_xlfn.IFS(L582&gt;=60, "Senior (60+)", L582&gt;=40, "Middle-Aged (40-59)", L582&gt;=20, "Young Adult (20-39)")</f>
        <v>Senior (60+)</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_xlfn.IFS(L583&gt;=60, "Senior (60+)", L583&gt;=40, "Middle-Aged (40-59)", L583&gt;=20, "Young Adult (20-39)")</f>
        <v>Young Adult (20-39)</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_xlfn.IFS(L584&gt;=60, "Senior (60+)", L584&gt;=40, "Middle-Aged (40-59)", L584&gt;=20, "Young Adult (20-39)")</f>
        <v>Middle-Aged (40-59)</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_xlfn.IFS(L585&gt;=60, "Senior (60+)", L585&gt;=40, "Middle-Aged (40-59)", L585&gt;=20, "Young Adult (20-39)")</f>
        <v>Senior (60+)</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_xlfn.IFS(L586&gt;=60, "Senior (60+)", L586&gt;=40, "Middle-Aged (40-59)", L586&gt;=20, "Young Adult (20-39)")</f>
        <v>Young Adult (20-39)</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_xlfn.IFS(L587&gt;=60, "Senior (60+)", L587&gt;=40, "Middle-Aged (40-59)", L587&gt;=20, "Young Adult (20-39)")</f>
        <v>Young Adult (20-39)</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_xlfn.IFS(L588&gt;=60, "Senior (60+)", L588&gt;=40, "Middle-Aged (40-59)", L588&gt;=20, "Young Adult (20-39)")</f>
        <v>Middle-Aged (40-59)</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_xlfn.IFS(L589&gt;=60, "Senior (60+)", L589&gt;=40, "Middle-Aged (40-59)", L589&gt;=20, "Young Adult (20-39)")</f>
        <v>Middle-Aged (40-59)</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_xlfn.IFS(L590&gt;=60, "Senior (60+)", L590&gt;=40, "Middle-Aged (40-59)", L590&gt;=20, "Young Adult (20-39)")</f>
        <v>Middle-Aged (40-59)</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_xlfn.IFS(L591&gt;=60, "Senior (60+)", L591&gt;=40, "Middle-Aged (40-59)", L591&gt;=20, "Young Adult (20-39)")</f>
        <v>Middle-Aged (40-59)</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_xlfn.IFS(L592&gt;=60, "Senior (60+)", L592&gt;=40, "Middle-Aged (40-59)", L592&gt;=20, "Young Adult (20-39)")</f>
        <v>Young Adult (20-39)</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_xlfn.IFS(L593&gt;=60, "Senior (60+)", L593&gt;=40, "Middle-Aged (40-59)", L593&gt;=20, "Young Adult (20-39)")</f>
        <v>Senior (60+)</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_xlfn.IFS(L594&gt;=60, "Senior (60+)", L594&gt;=40, "Middle-Aged (40-59)", L594&gt;=20, "Young Adult (20-39)")</f>
        <v>Middle-Aged (40-59)</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_xlfn.IFS(L595&gt;=60, "Senior (60+)", L595&gt;=40, "Middle-Aged (40-59)", L595&gt;=20, "Young Adult (20-39)")</f>
        <v>Middle-Aged (40-59)</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_xlfn.IFS(L596&gt;=60, "Senior (60+)", L596&gt;=40, "Middle-Aged (40-59)", L596&gt;=20, "Young Adult (20-39)")</f>
        <v>Senior (60+)</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_xlfn.IFS(L597&gt;=60, "Senior (60+)", L597&gt;=40, "Middle-Aged (40-59)", L597&gt;=20, "Young Adult (20-39)")</f>
        <v>Senior (60+)</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_xlfn.IFS(L598&gt;=60, "Senior (60+)", L598&gt;=40, "Middle-Aged (40-59)", L598&gt;=20, "Young Adult (20-39)")</f>
        <v>Middle-Aged (40-59)</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_xlfn.IFS(L599&gt;=60, "Senior (60+)", L599&gt;=40, "Middle-Aged (40-59)", L599&gt;=20, "Young Adult (20-39)")</f>
        <v>Middle-Aged (40-59)</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_xlfn.IFS(L600&gt;=60, "Senior (60+)", L600&gt;=40, "Middle-Aged (40-59)", L600&gt;=20, "Young Adult (20-39)")</f>
        <v>Middle-Aged (40-59)</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_xlfn.IFS(L601&gt;=60, "Senior (60+)", L601&gt;=40, "Middle-Aged (40-59)", L601&gt;=20, "Young Adult (20-39)")</f>
        <v>Middle-Aged (40-59)</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_xlfn.IFS(L602&gt;=60, "Senior (60+)", L602&gt;=40, "Middle-Aged (40-59)", L602&gt;=20, "Young Adult (20-39)")</f>
        <v>Middle-Aged (40-59)</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_xlfn.IFS(L603&gt;=60, "Senior (60+)", L603&gt;=40, "Middle-Aged (40-59)", L603&gt;=20, "Young Adult (20-39)")</f>
        <v>Middle-Aged (40-59)</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_xlfn.IFS(L604&gt;=60, "Senior (60+)", L604&gt;=40, "Middle-Aged (40-59)", L604&gt;=20, "Young Adult (20-39)")</f>
        <v>Middle-Aged (40-59)</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_xlfn.IFS(L605&gt;=60, "Senior (60+)", L605&gt;=40, "Middle-Aged (40-59)", L605&gt;=20, "Young Adult (20-39)")</f>
        <v>Young Adult (20-39)</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_xlfn.IFS(L606&gt;=60, "Senior (60+)", L606&gt;=40, "Middle-Aged (40-59)", L606&gt;=20, "Young Adult (20-39)")</f>
        <v>Young Adult (20-39)</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_xlfn.IFS(L607&gt;=60, "Senior (60+)", L607&gt;=40, "Middle-Aged (40-59)", L607&gt;=20, "Young Adult (20-39)")</f>
        <v>Middle-Aged (40-59)</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_xlfn.IFS(L608&gt;=60, "Senior (60+)", L608&gt;=40, "Middle-Aged (40-59)", L608&gt;=20, "Young Adult (20-39)")</f>
        <v>Young Adult (20-39)</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_xlfn.IFS(L609&gt;=60, "Senior (60+)", L609&gt;=40, "Middle-Aged (40-59)", L609&gt;=20, "Young Adult (20-39)")</f>
        <v>Middle-Aged (40-59)</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_xlfn.IFS(L610&gt;=60, "Senior (60+)", L610&gt;=40, "Middle-Aged (40-59)", L610&gt;=20, "Young Adult (20-39)")</f>
        <v>Middle-Aged (40-59)</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_xlfn.IFS(L611&gt;=60, "Senior (60+)", L611&gt;=40, "Middle-Aged (40-59)", L611&gt;=20, "Young Adult (20-39)")</f>
        <v>Middle-Aged (40-59)</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_xlfn.IFS(L612&gt;=60, "Senior (60+)", L612&gt;=40, "Middle-Aged (40-59)", L612&gt;=20, "Young Adult (20-39)")</f>
        <v>Middle-Aged (40-59)</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_xlfn.IFS(L613&gt;=60, "Senior (60+)", L613&gt;=40, "Middle-Aged (40-59)", L613&gt;=20, "Young Adult (20-39)")</f>
        <v>Young Adult (20-39)</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_xlfn.IFS(L614&gt;=60, "Senior (60+)", L614&gt;=40, "Middle-Aged (40-59)", L614&gt;=20, "Young Adult (20-39)")</f>
        <v>Young Adult (20-39)</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_xlfn.IFS(L615&gt;=60, "Senior (60+)", L615&gt;=40, "Middle-Aged (40-59)", L615&gt;=20, "Young Adult (20-39)")</f>
        <v>Middle-Aged (40-59)</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_xlfn.IFS(L616&gt;=60, "Senior (60+)", L616&gt;=40, "Middle-Aged (40-59)", L616&gt;=20, "Young Adult (20-39)")</f>
        <v>Middle-Aged (40-59)</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_xlfn.IFS(L617&gt;=60, "Senior (60+)", L617&gt;=40, "Middle-Aged (40-59)", L617&gt;=20, "Young Adult (20-39)")</f>
        <v>Middle-Aged (40-59)</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_xlfn.IFS(L618&gt;=60, "Senior (60+)", L618&gt;=40, "Middle-Aged (40-59)", L618&gt;=20, "Young Adult (20-39)")</f>
        <v>Middle-Aged (40-59)</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_xlfn.IFS(L619&gt;=60, "Senior (60+)", L619&gt;=40, "Middle-Aged (40-59)", L619&gt;=20, "Young Adult (20-39)")</f>
        <v>Middle-Aged (40-59)</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_xlfn.IFS(L620&gt;=60, "Senior (60+)", L620&gt;=40, "Middle-Aged (40-59)", L620&gt;=20, "Young Adult (20-39)")</f>
        <v>Middle-Aged (40-59)</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_xlfn.IFS(L621&gt;=60, "Senior (60+)", L621&gt;=40, "Middle-Aged (40-59)", L621&gt;=20, "Young Adult (20-39)")</f>
        <v>Young Adult (20-39)</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_xlfn.IFS(L622&gt;=60, "Senior (60+)", L622&gt;=40, "Middle-Aged (40-59)", L622&gt;=20, "Young Adult (20-39)")</f>
        <v>Middle-Aged (40-59)</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_xlfn.IFS(L623&gt;=60, "Senior (60+)", L623&gt;=40, "Middle-Aged (40-59)", L623&gt;=20, "Young Adult (20-39)")</f>
        <v>Middle-Aged (40-59)</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_xlfn.IFS(L624&gt;=60, "Senior (60+)", L624&gt;=40, "Middle-Aged (40-59)", L624&gt;=20, "Young Adult (20-39)")</f>
        <v>Middle-Aged (40-59)</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_xlfn.IFS(L625&gt;=60, "Senior (60+)", L625&gt;=40, "Middle-Aged (40-59)", L625&gt;=20, "Young Adult (20-39)")</f>
        <v>Middle-Aged (40-59)</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_xlfn.IFS(L626&gt;=60, "Senior (60+)", L626&gt;=40, "Middle-Aged (40-59)", L626&gt;=20, "Young Adult (20-39)")</f>
        <v>Young Adult (20-39)</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_xlfn.IFS(L627&gt;=60, "Senior (60+)", L627&gt;=40, "Middle-Aged (40-59)", L627&gt;=20, "Young Adult (20-39)")</f>
        <v>Senior (60+)</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_xlfn.IFS(L628&gt;=60, "Senior (60+)", L628&gt;=40, "Middle-Aged (40-59)", L628&gt;=20, "Young Adult (20-39)")</f>
        <v>Young Adult (20-39)</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_xlfn.IFS(L629&gt;=60, "Senior (60+)", L629&gt;=40, "Middle-Aged (40-59)", L629&gt;=20, "Young Adult (20-39)")</f>
        <v>Senior (60+)</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_xlfn.IFS(L630&gt;=60, "Senior (60+)", L630&gt;=40, "Middle-Aged (40-59)", L630&gt;=20, "Young Adult (20-39)")</f>
        <v>Middle-Aged (40-59)</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_xlfn.IFS(L631&gt;=60, "Senior (60+)", L631&gt;=40, "Middle-Aged (40-59)", L631&gt;=20, "Young Adult (20-39)")</f>
        <v>Young Adult (20-39)</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_xlfn.IFS(L632&gt;=60, "Senior (60+)", L632&gt;=40, "Middle-Aged (40-59)", L632&gt;=20, "Young Adult (20-39)")</f>
        <v>Young Adult (20-39)</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_xlfn.IFS(L633&gt;=60, "Senior (60+)", L633&gt;=40, "Middle-Aged (40-59)", L633&gt;=20, "Young Adult (20-39)")</f>
        <v>Middle-Aged (40-59)</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_xlfn.IFS(L634&gt;=60, "Senior (60+)", L634&gt;=40, "Middle-Aged (40-59)", L634&gt;=20, "Young Adult (20-39)")</f>
        <v>Middle-Aged (40-59)</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_xlfn.IFS(L635&gt;=60, "Senior (60+)", L635&gt;=40, "Middle-Aged (40-59)", L635&gt;=20, "Young Adult (20-39)")</f>
        <v>Middle-Aged (40-59)</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_xlfn.IFS(L636&gt;=60, "Senior (60+)", L636&gt;=40, "Middle-Aged (40-59)", L636&gt;=20, "Young Adult (20-39)")</f>
        <v>Senior (60+)</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_xlfn.IFS(L637&gt;=60, "Senior (60+)", L637&gt;=40, "Middle-Aged (40-59)", L637&gt;=20, "Young Adult (20-39)")</f>
        <v>Middle-Aged (40-59)</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_xlfn.IFS(L638&gt;=60, "Senior (60+)", L638&gt;=40, "Middle-Aged (40-59)", L638&gt;=20, "Young Adult (20-39)")</f>
        <v>Middle-Aged (40-59)</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_xlfn.IFS(L639&gt;=60, "Senior (60+)", L639&gt;=40, "Middle-Aged (40-59)", L639&gt;=20, "Young Adult (20-39)")</f>
        <v>Young Adult (20-39)</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_xlfn.IFS(L640&gt;=60, "Senior (60+)", L640&gt;=40, "Middle-Aged (40-59)", L640&gt;=20, "Young Adult (20-39)")</f>
        <v>Senior (60+)</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_xlfn.IFS(L641&gt;=60, "Senior (60+)", L641&gt;=40, "Middle-Aged (40-59)", L641&gt;=20, "Young Adult (20-39)")</f>
        <v>Senior (60+)</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_xlfn.IFS(L642&gt;=60, "Senior (60+)", L642&gt;=40, "Middle-Aged (40-59)", L642&gt;=20, "Young Adult (20-39)")</f>
        <v>Middle-Aged (40-59)</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_xlfn.IFS(L643&gt;=60, "Senior (60+)", L643&gt;=40, "Middle-Aged (40-59)", L643&gt;=20, "Young Adult (20-39)")</f>
        <v>Senior (60+)</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_xlfn.IFS(L644&gt;=60, "Senior (60+)", L644&gt;=40, "Middle-Aged (40-59)", L644&gt;=20, "Young Adult (20-39)")</f>
        <v>Middle-Aged (40-59)</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_xlfn.IFS(L645&gt;=60, "Senior (60+)", L645&gt;=40, "Middle-Aged (40-59)", L645&gt;=20, "Young Adult (20-39)")</f>
        <v>Young Adult (20-39)</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_xlfn.IFS(L646&gt;=60, "Senior (60+)", L646&gt;=40, "Middle-Aged (40-59)", L646&gt;=20, "Young Adult (20-39)")</f>
        <v>Middle-Aged (40-59)</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_xlfn.IFS(L647&gt;=60, "Senior (60+)", L647&gt;=40, "Middle-Aged (40-59)", L647&gt;=20, "Young Adult (20-39)")</f>
        <v>Young Adult (20-39)</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_xlfn.IFS(L648&gt;=60, "Senior (60+)", L648&gt;=40, "Middle-Aged (40-59)", L648&gt;=20, "Young Adult (20-39)")</f>
        <v>Middle-Aged (40-59)</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_xlfn.IFS(L649&gt;=60, "Senior (60+)", L649&gt;=40, "Middle-Aged (40-59)", L649&gt;=20, "Young Adult (20-39)")</f>
        <v>Young Adult (20-39)</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_xlfn.IFS(L650&gt;=60, "Senior (60+)", L650&gt;=40, "Middle-Aged (40-59)", L650&gt;=20, "Young Adult (20-39)")</f>
        <v>Middle-Aged (40-59)</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_xlfn.IFS(L651&gt;=60, "Senior (60+)", L651&gt;=40, "Middle-Aged (40-59)", L651&gt;=20, "Young Adult (20-39)")</f>
        <v>Young Adult (20-39)</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_xlfn.IFS(L652&gt;=60, "Senior (60+)", L652&gt;=40, "Middle-Aged (40-59)", L652&gt;=20, "Young Adult (20-39)")</f>
        <v>Senior (60+)</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_xlfn.IFS(L653&gt;=60, "Senior (60+)", L653&gt;=40, "Middle-Aged (40-59)", L653&gt;=20, "Young Adult (20-39)")</f>
        <v>Young Adult (20-39)</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_xlfn.IFS(L654&gt;=60, "Senior (60+)", L654&gt;=40, "Middle-Aged (40-59)", L654&gt;=20, "Young Adult (20-39)")</f>
        <v>Middle-Aged (40-59)</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_xlfn.IFS(L655&gt;=60, "Senior (60+)", L655&gt;=40, "Middle-Aged (40-59)", L655&gt;=20, "Young Adult (20-39)")</f>
        <v>Young Adult (20-39)</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_xlfn.IFS(L656&gt;=60, "Senior (60+)", L656&gt;=40, "Middle-Aged (40-59)", L656&gt;=20, "Young Adult (20-39)")</f>
        <v>Young Adult (20-39)</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_xlfn.IFS(L657&gt;=60, "Senior (60+)", L657&gt;=40, "Middle-Aged (40-59)", L657&gt;=20, "Young Adult (20-39)")</f>
        <v>Young Adult (20-39)</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_xlfn.IFS(L658&gt;=60, "Senior (60+)", L658&gt;=40, "Middle-Aged (40-59)", L658&gt;=20, "Young Adult (20-39)")</f>
        <v>Middle-Aged (40-59)</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_xlfn.IFS(L659&gt;=60, "Senior (60+)", L659&gt;=40, "Middle-Aged (40-59)", L659&gt;=20, "Young Adult (20-39)")</f>
        <v>Middle-Aged (40-59)</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_xlfn.IFS(L660&gt;=60, "Senior (60+)", L660&gt;=40, "Middle-Aged (40-59)", L660&gt;=20, "Young Adult (20-39)")</f>
        <v>Young Adult (20-39)</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_xlfn.IFS(L661&gt;=60, "Senior (60+)", L661&gt;=40, "Middle-Aged (40-59)", L661&gt;=20, "Young Adult (20-39)")</f>
        <v>Senior (60+)</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_xlfn.IFS(L662&gt;=60, "Senior (60+)", L662&gt;=40, "Middle-Aged (40-59)", L662&gt;=20, "Young Adult (20-39)")</f>
        <v>Young Adult (20-39)</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_xlfn.IFS(L663&gt;=60, "Senior (60+)", L663&gt;=40, "Middle-Aged (40-59)", L663&gt;=20, "Young Adult (20-39)")</f>
        <v>Young Adult (20-39)</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_xlfn.IFS(L664&gt;=60, "Senior (60+)", L664&gt;=40, "Middle-Aged (40-59)", L664&gt;=20, "Young Adult (20-39)")</f>
        <v>Middle-Aged (40-59)</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_xlfn.IFS(L665&gt;=60, "Senior (60+)", L665&gt;=40, "Middle-Aged (40-59)", L665&gt;=20, "Young Adult (20-39)")</f>
        <v>Middle-Aged (40-59)</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_xlfn.IFS(L666&gt;=60, "Senior (60+)", L666&gt;=40, "Middle-Aged (40-59)", L666&gt;=20, "Young Adult (20-39)")</f>
        <v>Middle-Aged (40-59)</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_xlfn.IFS(L667&gt;=60, "Senior (60+)", L667&gt;=40, "Middle-Aged (40-59)", L667&gt;=20, "Young Adult (20-39)")</f>
        <v>Middle-Aged (40-59)</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_xlfn.IFS(L668&gt;=60, "Senior (60+)", L668&gt;=40, "Middle-Aged (40-59)", L668&gt;=20, "Young Adult (20-39)")</f>
        <v>Middle-Aged (40-59)</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_xlfn.IFS(L669&gt;=60, "Senior (60+)", L669&gt;=40, "Middle-Aged (40-59)", L669&gt;=20, "Young Adult (20-39)")</f>
        <v>Senior (60+)</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_xlfn.IFS(L670&gt;=60, "Senior (60+)", L670&gt;=40, "Middle-Aged (40-59)", L670&gt;=20, "Young Adult (20-39)")</f>
        <v>Middle-Aged (40-59)</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_xlfn.IFS(L671&gt;=60, "Senior (60+)", L671&gt;=40, "Middle-Aged (40-59)", L671&gt;=20, "Young Adult (20-39)")</f>
        <v>Middle-Aged (40-59)</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_xlfn.IFS(L672&gt;=60, "Senior (60+)", L672&gt;=40, "Middle-Aged (40-59)", L672&gt;=20, "Young Adult (20-39)")</f>
        <v>Middle-Aged (40-59)</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_xlfn.IFS(L673&gt;=60, "Senior (60+)", L673&gt;=40, "Middle-Aged (40-59)", L673&gt;=20, "Young Adult (20-39)")</f>
        <v>Young Adult (20-39)</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_xlfn.IFS(L674&gt;=60, "Senior (60+)", L674&gt;=40, "Middle-Aged (40-59)", L674&gt;=20, "Young Adult (20-39)")</f>
        <v>Young Adult (20-39)</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_xlfn.IFS(L675&gt;=60, "Senior (60+)", L675&gt;=40, "Middle-Aged (40-59)", L675&gt;=20, "Young Adult (20-39)")</f>
        <v>Young Adult (20-39)</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_xlfn.IFS(L676&gt;=60, "Senior (60+)", L676&gt;=40, "Middle-Aged (40-59)", L676&gt;=20, "Young Adult (20-39)")</f>
        <v>Middle-Aged (40-59)</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_xlfn.IFS(L677&gt;=60, "Senior (60+)", L677&gt;=40, "Middle-Aged (40-59)", L677&gt;=20, "Young Adult (20-39)")</f>
        <v>Middle-Aged (40-59)</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_xlfn.IFS(L678&gt;=60, "Senior (60+)", L678&gt;=40, "Middle-Aged (40-59)", L678&gt;=20, "Young Adult (20-39)")</f>
        <v>Middle-Aged (40-59)</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_xlfn.IFS(L679&gt;=60, "Senior (60+)", L679&gt;=40, "Middle-Aged (40-59)", L679&gt;=20, "Young Adult (20-39)")</f>
        <v>Middle-Aged (40-59)</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_xlfn.IFS(L680&gt;=60, "Senior (60+)", L680&gt;=40, "Middle-Aged (40-59)", L680&gt;=20, "Young Adult (20-39)")</f>
        <v>Senior (60+)</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_xlfn.IFS(L681&gt;=60, "Senior (60+)", L681&gt;=40, "Middle-Aged (40-59)", L681&gt;=20, "Young Adult (20-39)")</f>
        <v>Senior (60+)</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_xlfn.IFS(L682&gt;=60, "Senior (60+)", L682&gt;=40, "Middle-Aged (40-59)", L682&gt;=20, "Young Adult (20-39)")</f>
        <v>Young Adult (20-39)</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_xlfn.IFS(L683&gt;=60, "Senior (60+)", L683&gt;=40, "Middle-Aged (40-59)", L683&gt;=20, "Young Adult (20-39)")</f>
        <v>Middle-Aged (40-59)</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_xlfn.IFS(L684&gt;=60, "Senior (60+)", L684&gt;=40, "Middle-Aged (40-59)", L684&gt;=20, "Young Adult (20-39)")</f>
        <v>Middle-Aged (40-59)</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_xlfn.IFS(L685&gt;=60, "Senior (60+)", L685&gt;=40, "Middle-Aged (40-59)", L685&gt;=20, "Young Adult (20-39)")</f>
        <v>Middle-Aged (40-59)</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_xlfn.IFS(L686&gt;=60, "Senior (60+)", L686&gt;=40, "Middle-Aged (40-59)", L686&gt;=20, "Young Adult (20-39)")</f>
        <v>Middle-Aged (40-59)</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_xlfn.IFS(L687&gt;=60, "Senior (60+)", L687&gt;=40, "Middle-Aged (40-59)", L687&gt;=20, "Young Adult (20-39)")</f>
        <v>Middle-Aged (40-59)</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_xlfn.IFS(L688&gt;=60, "Senior (60+)", L688&gt;=40, "Middle-Aged (40-59)", L688&gt;=20, "Young Adult (20-39)")</f>
        <v>Middle-Aged (40-59)</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_xlfn.IFS(L689&gt;=60, "Senior (60+)", L689&gt;=40, "Middle-Aged (40-59)", L689&gt;=20, "Young Adult (20-39)")</f>
        <v>Young Adult (20-39)</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_xlfn.IFS(L690&gt;=60, "Senior (60+)", L690&gt;=40, "Middle-Aged (40-59)", L690&gt;=20, "Young Adult (20-39)")</f>
        <v>Young Adult (20-39)</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_xlfn.IFS(L691&gt;=60, "Senior (60+)", L691&gt;=40, "Middle-Aged (40-59)", L691&gt;=20, "Young Adult (20-39)")</f>
        <v>Young Adult (20-39)</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_xlfn.IFS(L692&gt;=60, "Senior (60+)", L692&gt;=40, "Middle-Aged (40-59)", L692&gt;=20, "Young Adult (20-39)")</f>
        <v>Middle-Aged (40-59)</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_xlfn.IFS(L693&gt;=60, "Senior (60+)", L693&gt;=40, "Middle-Aged (40-59)", L693&gt;=20, "Young Adult (20-39)")</f>
        <v>Young Adult (20-39)</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_xlfn.IFS(L694&gt;=60, "Senior (60+)", L694&gt;=40, "Middle-Aged (40-59)", L694&gt;=20, "Young Adult (20-39)")</f>
        <v>Middle-Aged (40-59)</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_xlfn.IFS(L695&gt;=60, "Senior (60+)", L695&gt;=40, "Middle-Aged (40-59)", L695&gt;=20, "Young Adult (20-39)")</f>
        <v>Middle-Aged (40-59)</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_xlfn.IFS(L696&gt;=60, "Senior (60+)", L696&gt;=40, "Middle-Aged (40-59)", L696&gt;=20, "Young Adult (20-39)")</f>
        <v>Young Adult (20-39)</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_xlfn.IFS(L697&gt;=60, "Senior (60+)", L697&gt;=40, "Middle-Aged (40-59)", L697&gt;=20, "Young Adult (20-39)")</f>
        <v>Middle-Aged (40-59)</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_xlfn.IFS(L698&gt;=60, "Senior (60+)", L698&gt;=40, "Middle-Aged (40-59)", L698&gt;=20, "Young Adult (20-39)")</f>
        <v>Young Adult (20-39)</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_xlfn.IFS(L699&gt;=60, "Senior (60+)", L699&gt;=40, "Middle-Aged (40-59)", L699&gt;=20, "Young Adult (20-39)")</f>
        <v>Young Adult (20-39)</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_xlfn.IFS(L700&gt;=60, "Senior (60+)", L700&gt;=40, "Middle-Aged (40-59)", L700&gt;=20, "Young Adult (20-39)")</f>
        <v>Middle-Aged (40-59)</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_xlfn.IFS(L701&gt;=60, "Senior (60+)", L701&gt;=40, "Middle-Aged (40-59)", L701&gt;=20, "Young Adult (20-39)")</f>
        <v>Middle-Aged (40-59)</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_xlfn.IFS(L702&gt;=60, "Senior (60+)", L702&gt;=40, "Middle-Aged (40-59)", L702&gt;=20, "Young Adult (20-39)")</f>
        <v>Middle-Aged (40-59)</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_xlfn.IFS(L703&gt;=60, "Senior (60+)", L703&gt;=40, "Middle-Aged (40-59)", L703&gt;=20, "Young Adult (20-39)")</f>
        <v>Young Adult (20-39)</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_xlfn.IFS(L704&gt;=60, "Senior (60+)", L704&gt;=40, "Middle-Aged (40-59)", L704&gt;=20, "Young Adult (20-39)")</f>
        <v>Middle-Aged (40-59)</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_xlfn.IFS(L705&gt;=60, "Senior (60+)", L705&gt;=40, "Middle-Aged (40-59)", L705&gt;=20, "Young Adult (20-39)")</f>
        <v>Young Adult (20-39)</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_xlfn.IFS(L706&gt;=60, "Senior (60+)", L706&gt;=40, "Middle-Aged (40-59)", L706&gt;=20, "Young Adult (20-39)")</f>
        <v>Middle-Aged (40-59)</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_xlfn.IFS(L707&gt;=60, "Senior (60+)", L707&gt;=40, "Middle-Aged (40-59)", L707&gt;=20, "Young Adult (20-39)")</f>
        <v>Middle-Aged (40-59)</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_xlfn.IFS(L708&gt;=60, "Senior (60+)", L708&gt;=40, "Middle-Aged (40-59)", L708&gt;=20, "Young Adult (20-39)")</f>
        <v>Young Adult (20-39)</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_xlfn.IFS(L709&gt;=60, "Senior (60+)", L709&gt;=40, "Middle-Aged (40-59)", L709&gt;=20, "Young Adult (20-39)")</f>
        <v>Middle-Aged (40-59)</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_xlfn.IFS(L710&gt;=60, "Senior (60+)", L710&gt;=40, "Middle-Aged (40-59)", L710&gt;=20, "Young Adult (20-39)")</f>
        <v>Senior (60+)</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_xlfn.IFS(L711&gt;=60, "Senior (60+)", L711&gt;=40, "Middle-Aged (40-59)", L711&gt;=20, "Young Adult (20-39)")</f>
        <v>Middle-Aged (40-59)</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_xlfn.IFS(L712&gt;=60, "Senior (60+)", L712&gt;=40, "Middle-Aged (40-59)", L712&gt;=20, "Young Adult (20-39)")</f>
        <v>Young Adult (20-39)</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_xlfn.IFS(L713&gt;=60, "Senior (60+)", L713&gt;=40, "Middle-Aged (40-59)", L713&gt;=20, "Young Adult (20-39)")</f>
        <v>Middle-Aged (40-59)</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_xlfn.IFS(L714&gt;=60, "Senior (60+)", L714&gt;=40, "Middle-Aged (40-59)", L714&gt;=20, "Young Adult (20-39)")</f>
        <v>Middle-Aged (40-59)</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_xlfn.IFS(L715&gt;=60, "Senior (60+)", L715&gt;=40, "Middle-Aged (40-59)", L715&gt;=20, "Young Adult (20-39)")</f>
        <v>Young Adult (20-39)</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_xlfn.IFS(L716&gt;=60, "Senior (60+)", L716&gt;=40, "Middle-Aged (40-59)", L716&gt;=20, "Young Adult (20-39)")</f>
        <v>Young Adult (20-39)</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_xlfn.IFS(L717&gt;=60, "Senior (60+)", L717&gt;=40, "Middle-Aged (40-59)", L717&gt;=20, "Young Adult (20-39)")</f>
        <v>Young Adult (20-39)</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_xlfn.IFS(L718&gt;=60, "Senior (60+)", L718&gt;=40, "Middle-Aged (40-59)", L718&gt;=20, "Young Adult (20-39)")</f>
        <v>Middle-Aged (40-59)</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_xlfn.IFS(L719&gt;=60, "Senior (60+)", L719&gt;=40, "Middle-Aged (40-59)", L719&gt;=20, "Young Adult (20-39)")</f>
        <v>Young Adult (20-39)</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_xlfn.IFS(L720&gt;=60, "Senior (60+)", L720&gt;=40, "Middle-Aged (40-59)", L720&gt;=20, "Young Adult (20-39)")</f>
        <v>Young Adult (20-39)</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_xlfn.IFS(L721&gt;=60, "Senior (60+)", L721&gt;=40, "Middle-Aged (40-59)", L721&gt;=20, "Young Adult (20-39)")</f>
        <v>Young Adult (20-39)</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_xlfn.IFS(L722&gt;=60, "Senior (60+)", L722&gt;=40, "Middle-Aged (40-59)", L722&gt;=20, "Young Adult (20-39)")</f>
        <v>Senior (60+)</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_xlfn.IFS(L723&gt;=60, "Senior (60+)", L723&gt;=40, "Middle-Aged (40-59)", L723&gt;=20, "Young Adult (20-39)")</f>
        <v>Middle-Aged (40-59)</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_xlfn.IFS(L724&gt;=60, "Senior (60+)", L724&gt;=40, "Middle-Aged (40-59)", L724&gt;=20, "Young Adult (20-39)")</f>
        <v>Middle-Aged (40-59)</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_xlfn.IFS(L725&gt;=60, "Senior (60+)", L725&gt;=40, "Middle-Aged (40-59)", L725&gt;=20, "Young Adult (20-39)")</f>
        <v>Middle-Aged (40-59)</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_xlfn.IFS(L726&gt;=60, "Senior (60+)", L726&gt;=40, "Middle-Aged (40-59)", L726&gt;=20, "Young Adult (20-39)")</f>
        <v>Middle-Aged (40-59)</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_xlfn.IFS(L727&gt;=60, "Senior (60+)", L727&gt;=40, "Middle-Aged (40-59)", L727&gt;=20, "Young Adult (20-39)")</f>
        <v>Middle-Aged (40-59)</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_xlfn.IFS(L728&gt;=60, "Senior (60+)", L728&gt;=40, "Middle-Aged (40-59)", L728&gt;=20, "Young Adult (20-39)")</f>
        <v>Middle-Aged (40-59)</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_xlfn.IFS(L729&gt;=60, "Senior (60+)", L729&gt;=40, "Middle-Aged (40-59)", L729&gt;=20, "Young Adult (20-39)")</f>
        <v>Middle-Aged (40-59)</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_xlfn.IFS(L730&gt;=60, "Senior (60+)", L730&gt;=40, "Middle-Aged (40-59)", L730&gt;=20, "Young Adult (20-39)")</f>
        <v>Young Adult (20-39)</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_xlfn.IFS(L731&gt;=60, "Senior (60+)", L731&gt;=40, "Middle-Aged (40-59)", L731&gt;=20, "Young Adult (20-39)")</f>
        <v>Middle-Aged (40-59)</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_xlfn.IFS(L732&gt;=60, "Senior (60+)", L732&gt;=40, "Middle-Aged (40-59)", L732&gt;=20, "Young Adult (20-39)")</f>
        <v>Middle-Aged (40-59)</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_xlfn.IFS(L733&gt;=60, "Senior (60+)", L733&gt;=40, "Middle-Aged (40-59)", L733&gt;=20, "Young Adult (20-39)")</f>
        <v>Middle-Aged (40-59)</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_xlfn.IFS(L734&gt;=60, "Senior (60+)", L734&gt;=40, "Middle-Aged (40-59)", L734&gt;=20, "Young Adult (20-39)")</f>
        <v>Young Adult (20-39)</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_xlfn.IFS(L735&gt;=60, "Senior (60+)", L735&gt;=40, "Middle-Aged (40-59)", L735&gt;=20, "Young Adult (20-39)")</f>
        <v>Middle-Aged (40-59)</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_xlfn.IFS(L736&gt;=60, "Senior (60+)", L736&gt;=40, "Middle-Aged (40-59)", L736&gt;=20, "Young Adult (20-39)")</f>
        <v>Middle-Aged (40-59)</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_xlfn.IFS(L737&gt;=60, "Senior (60+)", L737&gt;=40, "Middle-Aged (40-59)", L737&gt;=20, "Young Adult (20-39)")</f>
        <v>Young Adult (20-39)</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_xlfn.IFS(L738&gt;=60, "Senior (60+)", L738&gt;=40, "Middle-Aged (40-59)", L738&gt;=20, "Young Adult (20-39)")</f>
        <v>Young Adult (20-39)</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_xlfn.IFS(L739&gt;=60, "Senior (60+)", L739&gt;=40, "Middle-Aged (40-59)", L739&gt;=20, "Young Adult (20-39)")</f>
        <v>Middle-Aged (40-59)</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_xlfn.IFS(L740&gt;=60, "Senior (60+)", L740&gt;=40, "Middle-Aged (40-59)", L740&gt;=20, "Young Adult (20-39)")</f>
        <v>Middle-Aged (40-59)</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_xlfn.IFS(L741&gt;=60, "Senior (60+)", L741&gt;=40, "Middle-Aged (40-59)", L741&gt;=20, "Young Adult (20-39)")</f>
        <v>Middle-Aged (40-59)</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_xlfn.IFS(L742&gt;=60, "Senior (60+)", L742&gt;=40, "Middle-Aged (40-59)", L742&gt;=20, "Young Adult (20-39)")</f>
        <v>Young Adult (20-39)</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_xlfn.IFS(L743&gt;=60, "Senior (60+)", L743&gt;=40, "Middle-Aged (40-59)", L743&gt;=20, "Young Adult (20-39)")</f>
        <v>Middle-Aged (40-59)</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_xlfn.IFS(L744&gt;=60, "Senior (60+)", L744&gt;=40, "Middle-Aged (40-59)", L744&gt;=20, "Young Adult (20-39)")</f>
        <v>Young Adult (20-39)</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_xlfn.IFS(L745&gt;=60, "Senior (60+)", L745&gt;=40, "Middle-Aged (40-59)", L745&gt;=20, "Young Adult (20-39)")</f>
        <v>Middle-Aged (40-59)</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_xlfn.IFS(L746&gt;=60, "Senior (60+)", L746&gt;=40, "Middle-Aged (40-59)", L746&gt;=20, "Young Adult (20-39)")</f>
        <v>Middle-Aged (40-59)</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_xlfn.IFS(L747&gt;=60, "Senior (60+)", L747&gt;=40, "Middle-Aged (40-59)", L747&gt;=20, "Young Adult (20-39)")</f>
        <v>Middle-Aged (40-59)</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_xlfn.IFS(L748&gt;=60, "Senior (60+)", L748&gt;=40, "Middle-Aged (40-59)", L748&gt;=20, "Young Adult (20-39)")</f>
        <v>Middle-Aged (40-59)</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_xlfn.IFS(L749&gt;=60, "Senior (60+)", L749&gt;=40, "Middle-Aged (40-59)", L749&gt;=20, "Young Adult (20-39)")</f>
        <v>Middle-Aged (40-59)</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_xlfn.IFS(L750&gt;=60, "Senior (60+)", L750&gt;=40, "Middle-Aged (40-59)", L750&gt;=20, "Young Adult (20-39)")</f>
        <v>Senior (60+)</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_xlfn.IFS(L751&gt;=60, "Senior (60+)", L751&gt;=40, "Middle-Aged (40-59)", L751&gt;=20, "Young Adult (20-39)")</f>
        <v>Middle-Aged (40-59)</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_xlfn.IFS(L752&gt;=60, "Senior (60+)", L752&gt;=40, "Middle-Aged (40-59)", L752&gt;=20, "Young Adult (20-39)")</f>
        <v>Middle-Aged (40-59)</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_xlfn.IFS(L753&gt;=60, "Senior (60+)", L753&gt;=40, "Middle-Aged (40-59)", L753&gt;=20, "Young Adult (20-39)")</f>
        <v>Young Adult (20-39)</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_xlfn.IFS(L754&gt;=60, "Senior (60+)", L754&gt;=40, "Middle-Aged (40-59)", L754&gt;=20, "Young Adult (20-39)")</f>
        <v>Young Adult (20-39)</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_xlfn.IFS(L755&gt;=60, "Senior (60+)", L755&gt;=40, "Middle-Aged (40-59)", L755&gt;=20, "Young Adult (20-39)")</f>
        <v>Young Adult (20-39)</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_xlfn.IFS(L756&gt;=60, "Senior (60+)", L756&gt;=40, "Middle-Aged (40-59)", L756&gt;=20, "Young Adult (20-39)")</f>
        <v>Middle-Aged (40-59)</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_xlfn.IFS(L757&gt;=60, "Senior (60+)", L757&gt;=40, "Middle-Aged (40-59)", L757&gt;=20, "Young Adult (20-39)")</f>
        <v>Middle-Aged (40-59)</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_xlfn.IFS(L758&gt;=60, "Senior (60+)", L758&gt;=40, "Middle-Aged (40-59)", L758&gt;=20, "Young Adult (20-39)")</f>
        <v>Young Adult (20-39)</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_xlfn.IFS(L759&gt;=60, "Senior (60+)", L759&gt;=40, "Middle-Aged (40-59)", L759&gt;=20, "Young Adult (20-39)")</f>
        <v>Middle-Aged (40-59)</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_xlfn.IFS(L760&gt;=60, "Senior (60+)", L760&gt;=40, "Middle-Aged (40-59)", L760&gt;=20, "Young Adult (20-39)")</f>
        <v>Middle-Aged (40-59)</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_xlfn.IFS(L761&gt;=60, "Senior (60+)", L761&gt;=40, "Middle-Aged (40-59)", L761&gt;=20, "Young Adult (20-39)")</f>
        <v>Middle-Aged (40-59)</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_xlfn.IFS(L762&gt;=60, "Senior (60+)", L762&gt;=40, "Middle-Aged (40-59)", L762&gt;=20, "Young Adult (20-39)")</f>
        <v>Middle-Aged (40-59)</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_xlfn.IFS(L763&gt;=60, "Senior (60+)", L763&gt;=40, "Middle-Aged (40-59)", L763&gt;=20, "Young Adult (20-39)")</f>
        <v>Middle-Aged (40-59)</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_xlfn.IFS(L764&gt;=60, "Senior (60+)", L764&gt;=40, "Middle-Aged (40-59)", L764&gt;=20, "Young Adult (20-39)")</f>
        <v>Young Adult (20-39)</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_xlfn.IFS(L765&gt;=60, "Senior (60+)", L765&gt;=40, "Middle-Aged (40-59)", L765&gt;=20, "Young Adult (20-39)")</f>
        <v>Young Adult (20-39)</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_xlfn.IFS(L766&gt;=60, "Senior (60+)", L766&gt;=40, "Middle-Aged (40-59)", L766&gt;=20, "Young Adult (20-39)")</f>
        <v>Young Adult (20-39)</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_xlfn.IFS(L767&gt;=60, "Senior (60+)", L767&gt;=40, "Middle-Aged (40-59)", L767&gt;=20, "Young Adult (20-39)")</f>
        <v>Young Adult (20-39)</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_xlfn.IFS(L768&gt;=60, "Senior (60+)", L768&gt;=40, "Middle-Aged (40-59)", L768&gt;=20, "Young Adult (20-39)")</f>
        <v>Middle-Aged (40-59)</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_xlfn.IFS(L769&gt;=60, "Senior (60+)", L769&gt;=40, "Middle-Aged (40-59)", L769&gt;=20, "Young Adult (20-39)")</f>
        <v>Middle-Aged (40-59)</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_xlfn.IFS(L770&gt;=60, "Senior (60+)", L770&gt;=40, "Middle-Aged (40-59)", L770&gt;=20, "Young Adult (20-39)")</f>
        <v>Middle-Aged (40-59)</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_xlfn.IFS(L771&gt;=60, "Senior (60+)", L771&gt;=40, "Middle-Aged (40-59)", L771&gt;=20, "Young Adult (20-39)")</f>
        <v>Middle-Aged (40-59)</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_xlfn.IFS(L772&gt;=60, "Senior (60+)", L772&gt;=40, "Middle-Aged (40-59)", L772&gt;=20, "Young Adult (20-39)")</f>
        <v>Middle-Aged (40-59)</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_xlfn.IFS(L773&gt;=60, "Senior (60+)", L773&gt;=40, "Middle-Aged (40-59)", L773&gt;=20, "Young Adult (20-39)")</f>
        <v>Middle-Aged (40-59)</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_xlfn.IFS(L774&gt;=60, "Senior (60+)", L774&gt;=40, "Middle-Aged (40-59)", L774&gt;=20, "Young Adult (20-39)")</f>
        <v>Middle-Aged (40-59)</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_xlfn.IFS(L775&gt;=60, "Senior (60+)", L775&gt;=40, "Middle-Aged (40-59)", L775&gt;=20, "Young Adult (20-39)")</f>
        <v>Young Adult (20-39)</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_xlfn.IFS(L776&gt;=60, "Senior (60+)", L776&gt;=40, "Middle-Aged (40-59)", L776&gt;=20, "Young Adult (20-39)")</f>
        <v>Young Adult (20-39)</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_xlfn.IFS(L777&gt;=60, "Senior (60+)", L777&gt;=40, "Middle-Aged (40-59)", L777&gt;=20, "Young Adult (20-39)")</f>
        <v>Middle-Aged (40-59)</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_xlfn.IFS(L778&gt;=60, "Senior (60+)", L778&gt;=40, "Middle-Aged (40-59)", L778&gt;=20, "Young Adult (20-39)")</f>
        <v>Middle-Aged (40-59)</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_xlfn.IFS(L779&gt;=60, "Senior (60+)", L779&gt;=40, "Middle-Aged (40-59)", L779&gt;=20, "Young Adult (20-39)")</f>
        <v>Young Adult (20-39)</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_xlfn.IFS(L780&gt;=60, "Senior (60+)", L780&gt;=40, "Middle-Aged (40-59)", L780&gt;=20, "Young Adult (20-39)")</f>
        <v>Middle-Aged (40-59)</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_xlfn.IFS(L781&gt;=60, "Senior (60+)", L781&gt;=40, "Middle-Aged (40-59)", L781&gt;=20, "Young Adult (20-39)")</f>
        <v>Middle-Aged (40-59)</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_xlfn.IFS(L782&gt;=60, "Senior (60+)", L782&gt;=40, "Middle-Aged (40-59)", L782&gt;=20, "Young Adult (20-39)")</f>
        <v>Middle-Aged (40-59)</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_xlfn.IFS(L783&gt;=60, "Senior (60+)", L783&gt;=40, "Middle-Aged (40-59)", L783&gt;=20, "Young Adult (20-39)")</f>
        <v>Middle-Aged (40-59)</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_xlfn.IFS(L784&gt;=60, "Senior (60+)", L784&gt;=40, "Middle-Aged (40-59)", L784&gt;=20, "Young Adult (20-39)")</f>
        <v>Middle-Aged (40-59)</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_xlfn.IFS(L785&gt;=60, "Senior (60+)", L785&gt;=40, "Middle-Aged (40-59)", L785&gt;=20, "Young Adult (20-39)")</f>
        <v>Middle-Aged (40-59)</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_xlfn.IFS(L786&gt;=60, "Senior (60+)", L786&gt;=40, "Middle-Aged (40-59)", L786&gt;=20, "Young Adult (20-39)")</f>
        <v>Middle-Aged (40-59)</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_xlfn.IFS(L787&gt;=60, "Senior (60+)", L787&gt;=40, "Middle-Aged (40-59)", L787&gt;=20, "Young Adult (20-39)")</f>
        <v>Young Adult (20-39)</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_xlfn.IFS(L788&gt;=60, "Senior (60+)", L788&gt;=40, "Middle-Aged (40-59)", L788&gt;=20, "Young Adult (20-39)")</f>
        <v>Young Adult (20-39)</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_xlfn.IFS(L789&gt;=60, "Senior (60+)", L789&gt;=40, "Middle-Aged (40-59)", L789&gt;=20, "Young Adult (20-39)")</f>
        <v>Middle-Aged (40-59)</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_xlfn.IFS(L790&gt;=60, "Senior (60+)", L790&gt;=40, "Middle-Aged (40-59)", L790&gt;=20, "Young Adult (20-39)")</f>
        <v>Middle-Aged (40-59)</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_xlfn.IFS(L791&gt;=60, "Senior (60+)", L791&gt;=40, "Middle-Aged (40-59)", L791&gt;=20, "Young Adult (20-39)")</f>
        <v>Middle-Aged (40-59)</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_xlfn.IFS(L792&gt;=60, "Senior (60+)", L792&gt;=40, "Middle-Aged (40-59)", L792&gt;=20, "Young Adult (20-39)")</f>
        <v>Middle-Aged (40-59)</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_xlfn.IFS(L793&gt;=60, "Senior (60+)", L793&gt;=40, "Middle-Aged (40-59)", L793&gt;=20, "Young Adult (20-39)")</f>
        <v>Young Adult (20-39)</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_xlfn.IFS(L794&gt;=60, "Senior (60+)", L794&gt;=40, "Middle-Aged (40-59)", L794&gt;=20, "Young Adult (20-39)")</f>
        <v>Middle-Aged (40-59)</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_xlfn.IFS(L795&gt;=60, "Senior (60+)", L795&gt;=40, "Middle-Aged (40-59)", L795&gt;=20, "Young Adult (20-39)")</f>
        <v>Middle-Aged (40-59)</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_xlfn.IFS(L796&gt;=60, "Senior (60+)", L796&gt;=40, "Middle-Aged (40-59)", L796&gt;=20, "Young Adult (20-39)")</f>
        <v>Senior (60+)</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_xlfn.IFS(L797&gt;=60, "Senior (60+)", L797&gt;=40, "Middle-Aged (40-59)", L797&gt;=20, "Young Adult (20-39)")</f>
        <v>Middle-Aged (40-59)</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_xlfn.IFS(L798&gt;=60, "Senior (60+)", L798&gt;=40, "Middle-Aged (40-59)", L798&gt;=20, "Young Adult (20-39)")</f>
        <v>Middle-Aged (40-59)</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_xlfn.IFS(L799&gt;=60, "Senior (60+)", L799&gt;=40, "Middle-Aged (40-59)", L799&gt;=20, "Young Adult (20-39)")</f>
        <v>Young Adult (20-39)</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_xlfn.IFS(L800&gt;=60, "Senior (60+)", L800&gt;=40, "Middle-Aged (40-59)", L800&gt;=20, "Young Adult (20-39)")</f>
        <v>Young Adult (20-39)</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_xlfn.IFS(L801&gt;=60, "Senior (60+)", L801&gt;=40, "Middle-Aged (40-59)", L801&gt;=20, "Young Adult (20-39)")</f>
        <v>Young Adult (20-39)</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_xlfn.IFS(L802&gt;=60, "Senior (60+)", L802&gt;=40, "Middle-Aged (40-59)", L802&gt;=20, "Young Adult (20-39)")</f>
        <v>Middle-Aged (40-59)</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_xlfn.IFS(L803&gt;=60, "Senior (60+)", L803&gt;=40, "Middle-Aged (40-59)", L803&gt;=20, "Young Adult (20-39)")</f>
        <v>Senior (60+)</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_xlfn.IFS(L804&gt;=60, "Senior (60+)", L804&gt;=40, "Middle-Aged (40-59)", L804&gt;=20, "Young Adult (20-39)")</f>
        <v>Young Adult (20-39)</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_xlfn.IFS(L805&gt;=60, "Senior (60+)", L805&gt;=40, "Middle-Aged (40-59)", L805&gt;=20, "Young Adult (20-39)")</f>
        <v>Young Adult (20-39)</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_xlfn.IFS(L806&gt;=60, "Senior (60+)", L806&gt;=40, "Middle-Aged (40-59)", L806&gt;=20, "Young Adult (20-39)")</f>
        <v>Young Adult (20-39)</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_xlfn.IFS(L807&gt;=60, "Senior (60+)", L807&gt;=40, "Middle-Aged (40-59)", L807&gt;=20, "Young Adult (20-39)")</f>
        <v>Young Adult (20-39)</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_xlfn.IFS(L808&gt;=60, "Senior (60+)", L808&gt;=40, "Middle-Aged (40-59)", L808&gt;=20, "Young Adult (20-39)")</f>
        <v>Middle-Aged (40-59)</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_xlfn.IFS(L809&gt;=60, "Senior (60+)", L809&gt;=40, "Middle-Aged (40-59)", L809&gt;=20, "Young Adult (20-39)")</f>
        <v>Young Adult (20-39)</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_xlfn.IFS(L810&gt;=60, "Senior (60+)", L810&gt;=40, "Middle-Aged (40-59)", L810&gt;=20, "Young Adult (20-39)")</f>
        <v>Middle-Aged (40-59)</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_xlfn.IFS(L811&gt;=60, "Senior (60+)", L811&gt;=40, "Middle-Aged (40-59)", L811&gt;=20, "Young Adult (20-39)")</f>
        <v>Senior (60+)</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_xlfn.IFS(L812&gt;=60, "Senior (60+)", L812&gt;=40, "Middle-Aged (40-59)", L812&gt;=20, "Young Adult (20-39)")</f>
        <v>Middle-Aged (40-59)</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_xlfn.IFS(L813&gt;=60, "Senior (60+)", L813&gt;=40, "Middle-Aged (40-59)", L813&gt;=20, "Young Adult (20-39)")</f>
        <v>Young Adult (20-39)</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_xlfn.IFS(L814&gt;=60, "Senior (60+)", L814&gt;=40, "Middle-Aged (40-59)", L814&gt;=20, "Young Adult (20-39)")</f>
        <v>Senior (60+)</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_xlfn.IFS(L815&gt;=60, "Senior (60+)", L815&gt;=40, "Middle-Aged (40-59)", L815&gt;=20, "Young Adult (20-39)")</f>
        <v>Middle-Aged (40-59)</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_xlfn.IFS(L816&gt;=60, "Senior (60+)", L816&gt;=40, "Middle-Aged (40-59)", L816&gt;=20, "Young Adult (20-39)")</f>
        <v>Senior (60+)</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_xlfn.IFS(L817&gt;=60, "Senior (60+)", L817&gt;=40, "Middle-Aged (40-59)", L817&gt;=20, "Young Adult (20-39)")</f>
        <v>Young Adult (20-39)</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_xlfn.IFS(L818&gt;=60, "Senior (60+)", L818&gt;=40, "Middle-Aged (40-59)", L818&gt;=20, "Young Adult (20-39)")</f>
        <v>Middle-Aged (40-59)</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_xlfn.IFS(L819&gt;=60, "Senior (60+)", L819&gt;=40, "Middle-Aged (40-59)", L819&gt;=20, "Young Adult (20-39)")</f>
        <v>Middle-Aged (40-59)</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_xlfn.IFS(L820&gt;=60, "Senior (60+)", L820&gt;=40, "Middle-Aged (40-59)", L820&gt;=20, "Young Adult (20-39)")</f>
        <v>Young Adult (20-39)</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_xlfn.IFS(L821&gt;=60, "Senior (60+)", L821&gt;=40, "Middle-Aged (40-59)", L821&gt;=20, "Young Adult (20-39)")</f>
        <v>Young Adult (20-39)</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_xlfn.IFS(L822&gt;=60, "Senior (60+)", L822&gt;=40, "Middle-Aged (40-59)", L822&gt;=20, "Young Adult (20-39)")</f>
        <v>Middle-Aged (40-59)</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_xlfn.IFS(L823&gt;=60, "Senior (60+)", L823&gt;=40, "Middle-Aged (40-59)", L823&gt;=20, "Young Adult (20-39)")</f>
        <v>Young Adult (20-39)</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_xlfn.IFS(L824&gt;=60, "Senior (60+)", L824&gt;=40, "Middle-Aged (40-59)", L824&gt;=20, "Young Adult (20-39)")</f>
        <v>Young Adult (20-39)</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_xlfn.IFS(L825&gt;=60, "Senior (60+)", L825&gt;=40, "Middle-Aged (40-59)", L825&gt;=20, "Young Adult (20-39)")</f>
        <v>Middle-Aged (40-59)</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_xlfn.IFS(L826&gt;=60, "Senior (60+)", L826&gt;=40, "Middle-Aged (40-59)", L826&gt;=20, "Young Adult (20-39)")</f>
        <v>Young Adult (20-39)</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_xlfn.IFS(L827&gt;=60, "Senior (60+)", L827&gt;=40, "Middle-Aged (40-59)", L827&gt;=20, "Young Adult (20-39)")</f>
        <v>Middle-Aged (40-59)</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_xlfn.IFS(L828&gt;=60, "Senior (60+)", L828&gt;=40, "Middle-Aged (40-59)", L828&gt;=20, "Young Adult (20-39)")</f>
        <v>Young Adult (20-39)</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_xlfn.IFS(L829&gt;=60, "Senior (60+)", L829&gt;=40, "Middle-Aged (40-59)", L829&gt;=20, "Young Adult (20-39)")</f>
        <v>Middle-Aged (40-59)</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_xlfn.IFS(L830&gt;=60, "Senior (60+)", L830&gt;=40, "Middle-Aged (40-59)", L830&gt;=20, "Young Adult (20-39)")</f>
        <v>Young Adult (20-39)</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_xlfn.IFS(L831&gt;=60, "Senior (60+)", L831&gt;=40, "Middle-Aged (40-59)", L831&gt;=20, "Young Adult (20-39)")</f>
        <v>Senior (60+)</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_xlfn.IFS(L832&gt;=60, "Senior (60+)", L832&gt;=40, "Middle-Aged (40-59)", L832&gt;=20, "Young Adult (20-39)")</f>
        <v>Middle-Aged (40-59)</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_xlfn.IFS(L833&gt;=60, "Senior (60+)", L833&gt;=40, "Middle-Aged (40-59)", L833&gt;=20, "Young Adult (20-39)")</f>
        <v>Middle-Aged (40-59)</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_xlfn.IFS(L834&gt;=60, "Senior (60+)", L834&gt;=40, "Middle-Aged (40-59)", L834&gt;=20, "Young Adult (20-39)")</f>
        <v>Young Adult (20-39)</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_xlfn.IFS(L835&gt;=60, "Senior (60+)", L835&gt;=40, "Middle-Aged (40-59)", L835&gt;=20, "Young Adult (20-39)")</f>
        <v>Young Adult (20-39)</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_xlfn.IFS(L836&gt;=60, "Senior (60+)", L836&gt;=40, "Middle-Aged (40-59)", L836&gt;=20, "Young Adult (20-39)")</f>
        <v>Middle-Aged (40-59)</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_xlfn.IFS(L837&gt;=60, "Senior (60+)", L837&gt;=40, "Middle-Aged (40-59)", L837&gt;=20, "Young Adult (20-39)")</f>
        <v>Middle-Aged (40-59)</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_xlfn.IFS(L838&gt;=60, "Senior (60+)", L838&gt;=40, "Middle-Aged (40-59)", L838&gt;=20, "Young Adult (20-39)")</f>
        <v>Young Adult (20-39)</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_xlfn.IFS(L839&gt;=60, "Senior (60+)", L839&gt;=40, "Middle-Aged (40-59)", L839&gt;=20, "Young Adult (20-39)")</f>
        <v>Young Adult (20-39)</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_xlfn.IFS(L840&gt;=60, "Senior (60+)", L840&gt;=40, "Middle-Aged (40-59)", L840&gt;=20, "Young Adult (20-39)")</f>
        <v>Middle-Aged (40-59)</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_xlfn.IFS(L841&gt;=60, "Senior (60+)", L841&gt;=40, "Middle-Aged (40-59)", L841&gt;=20, "Young Adult (20-39)")</f>
        <v>Young Adult (20-39)</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_xlfn.IFS(L842&gt;=60, "Senior (60+)", L842&gt;=40, "Middle-Aged (40-59)", L842&gt;=20, "Young Adult (20-39)")</f>
        <v>Middle-Aged (40-59)</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_xlfn.IFS(L843&gt;=60, "Senior (60+)", L843&gt;=40, "Middle-Aged (40-59)", L843&gt;=20, "Young Adult (20-39)")</f>
        <v>Senior (60+)</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_xlfn.IFS(L844&gt;=60, "Senior (60+)", L844&gt;=40, "Middle-Aged (40-59)", L844&gt;=20, "Young Adult (20-39)")</f>
        <v>Middle-Aged (40-59)</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_xlfn.IFS(L845&gt;=60, "Senior (60+)", L845&gt;=40, "Middle-Aged (40-59)", L845&gt;=20, "Young Adult (20-39)")</f>
        <v>Middle-Aged (40-59)</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_xlfn.IFS(L846&gt;=60, "Senior (60+)", L846&gt;=40, "Middle-Aged (40-59)", L846&gt;=20, "Young Adult (20-39)")</f>
        <v>Senior (60+)</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_xlfn.IFS(L847&gt;=60, "Senior (60+)", L847&gt;=40, "Middle-Aged (40-59)", L847&gt;=20, "Young Adult (20-39)")</f>
        <v>Middle-Aged (40-59)</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_xlfn.IFS(L848&gt;=60, "Senior (60+)", L848&gt;=40, "Middle-Aged (40-59)", L848&gt;=20, "Young Adult (20-39)")</f>
        <v>Middle-Aged (40-59)</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_xlfn.IFS(L849&gt;=60, "Senior (60+)", L849&gt;=40, "Middle-Aged (40-59)", L849&gt;=20, "Young Adult (20-39)")</f>
        <v>Young Adult (20-39)</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_xlfn.IFS(L850&gt;=60, "Senior (60+)", L850&gt;=40, "Middle-Aged (40-59)", L850&gt;=20, "Young Adult (20-39)")</f>
        <v>Young Adult (20-39)</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_xlfn.IFS(L851&gt;=60, "Senior (60+)", L851&gt;=40, "Middle-Aged (40-59)", L851&gt;=20, "Young Adult (20-39)")</f>
        <v>Senior (60+)</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_xlfn.IFS(L852&gt;=60, "Senior (60+)", L852&gt;=40, "Middle-Aged (40-59)", L852&gt;=20, "Young Adult (20-39)")</f>
        <v>Senior (60+)</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_xlfn.IFS(L853&gt;=60, "Senior (60+)", L853&gt;=40, "Middle-Aged (40-59)", L853&gt;=20, "Young Adult (20-39)")</f>
        <v>Young Adult (20-39)</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_xlfn.IFS(L854&gt;=60, "Senior (60+)", L854&gt;=40, "Middle-Aged (40-59)", L854&gt;=20, "Young Adult (20-39)")</f>
        <v>Young Adult (20-39)</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_xlfn.IFS(L855&gt;=60, "Senior (60+)", L855&gt;=40, "Middle-Aged (40-59)", L855&gt;=20, "Young Adult (20-39)")</f>
        <v>Young Adult (20-39)</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_xlfn.IFS(L856&gt;=60, "Senior (60+)", L856&gt;=40, "Middle-Aged (40-59)", L856&gt;=20, "Young Adult (20-39)")</f>
        <v>Young Adult (20-39)</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_xlfn.IFS(L857&gt;=60, "Senior (60+)", L857&gt;=40, "Middle-Aged (40-59)", L857&gt;=20, "Young Adult (20-39)")</f>
        <v>Young Adult (20-39)</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_xlfn.IFS(L858&gt;=60, "Senior (60+)", L858&gt;=40, "Middle-Aged (40-59)", L858&gt;=20, "Young Adult (20-39)")</f>
        <v>Young Adult (20-39)</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_xlfn.IFS(L859&gt;=60, "Senior (60+)", L859&gt;=40, "Middle-Aged (40-59)", L859&gt;=20, "Young Adult (20-39)")</f>
        <v>Middle-Aged (40-59)</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_xlfn.IFS(L860&gt;=60, "Senior (60+)", L860&gt;=40, "Middle-Aged (40-59)", L860&gt;=20, "Young Adult (20-39)")</f>
        <v>Middle-Aged (40-59)</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_xlfn.IFS(L861&gt;=60, "Senior (60+)", L861&gt;=40, "Middle-Aged (40-59)", L861&gt;=20, "Young Adult (20-39)")</f>
        <v>Middle-Aged (40-59)</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_xlfn.IFS(L862&gt;=60, "Senior (60+)", L862&gt;=40, "Middle-Aged (40-59)", L862&gt;=20, "Young Adult (20-39)")</f>
        <v>Young Adult (20-39)</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_xlfn.IFS(L863&gt;=60, "Senior (60+)", L863&gt;=40, "Middle-Aged (40-59)", L863&gt;=20, "Young Adult (20-39)")</f>
        <v>Middle-Aged (40-59)</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_xlfn.IFS(L864&gt;=60, "Senior (60+)", L864&gt;=40, "Middle-Aged (40-59)", L864&gt;=20, "Young Adult (20-39)")</f>
        <v>Young Adult (20-39)</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_xlfn.IFS(L865&gt;=60, "Senior (60+)", L865&gt;=40, "Middle-Aged (40-59)", L865&gt;=20, "Young Adult (20-39)")</f>
        <v>Young Adult (20-39)</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_xlfn.IFS(L866&gt;=60, "Senior (60+)", L866&gt;=40, "Middle-Aged (40-59)", L866&gt;=20, "Young Adult (20-39)")</f>
        <v>Young Adult (20-39)</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_xlfn.IFS(L867&gt;=60, "Senior (60+)", L867&gt;=40, "Middle-Aged (40-59)", L867&gt;=20, "Young Adult (20-39)")</f>
        <v>Young Adult (20-39)</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_xlfn.IFS(L868&gt;=60, "Senior (60+)", L868&gt;=40, "Middle-Aged (40-59)", L868&gt;=20, "Young Adult (20-39)")</f>
        <v>Middle-Aged (40-59)</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_xlfn.IFS(L869&gt;=60, "Senior (60+)", L869&gt;=40, "Middle-Aged (40-59)", L869&gt;=20, "Young Adult (20-39)")</f>
        <v>Middle-Aged (40-59)</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_xlfn.IFS(L870&gt;=60, "Senior (60+)", L870&gt;=40, "Middle-Aged (40-59)", L870&gt;=20, "Young Adult (20-39)")</f>
        <v>Senior (60+)</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_xlfn.IFS(L871&gt;=60, "Senior (60+)", L871&gt;=40, "Middle-Aged (40-59)", L871&gt;=20, "Young Adult (20-39)")</f>
        <v>Middle-Aged (40-59)</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_xlfn.IFS(L872&gt;=60, "Senior (60+)", L872&gt;=40, "Middle-Aged (40-59)", L872&gt;=20, "Young Adult (20-39)")</f>
        <v>Middle-Aged (40-59)</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_xlfn.IFS(L873&gt;=60, "Senior (60+)", L873&gt;=40, "Middle-Aged (40-59)", L873&gt;=20, "Young Adult (20-39)")</f>
        <v>Middle-Aged (40-59)</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_xlfn.IFS(L874&gt;=60, "Senior (60+)", L874&gt;=40, "Middle-Aged (40-59)", L874&gt;=20, "Young Adult (20-39)")</f>
        <v>Middle-Aged (40-59)</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_xlfn.IFS(L875&gt;=60, "Senior (60+)", L875&gt;=40, "Middle-Aged (40-59)", L875&gt;=20, "Young Adult (20-39)")</f>
        <v>Middle-Aged (40-59)</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_xlfn.IFS(L876&gt;=60, "Senior (60+)", L876&gt;=40, "Middle-Aged (40-59)", L876&gt;=20, "Young Adult (20-39)")</f>
        <v>Middle-Aged (40-59)</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_xlfn.IFS(L877&gt;=60, "Senior (60+)", L877&gt;=40, "Middle-Aged (40-59)", L877&gt;=20, "Young Adult (20-39)")</f>
        <v>Young Adult (20-39)</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_xlfn.IFS(L878&gt;=60, "Senior (60+)", L878&gt;=40, "Middle-Aged (40-59)", L878&gt;=20, "Young Adult (20-39)")</f>
        <v>Young Adult (20-39)</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_xlfn.IFS(L879&gt;=60, "Senior (60+)", L879&gt;=40, "Middle-Aged (40-59)", L879&gt;=20, "Young Adult (20-39)")</f>
        <v>Senior (60+)</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_xlfn.IFS(L880&gt;=60, "Senior (60+)", L880&gt;=40, "Middle-Aged (40-59)", L880&gt;=20, "Young Adult (20-39)")</f>
        <v>Senior (60+)</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_xlfn.IFS(L881&gt;=60, "Senior (60+)", L881&gt;=40, "Middle-Aged (40-59)", L881&gt;=20, "Young Adult (20-39)")</f>
        <v>Middle-Aged (40-59)</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_xlfn.IFS(L882&gt;=60, "Senior (60+)", L882&gt;=40, "Middle-Aged (40-59)", L882&gt;=20, "Young Adult (20-39)")</f>
        <v>Young Adult (20-39)</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_xlfn.IFS(L883&gt;=60, "Senior (60+)", L883&gt;=40, "Middle-Aged (40-59)", L883&gt;=20, "Young Adult (20-39)")</f>
        <v>Senior (60+)</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_xlfn.IFS(L884&gt;=60, "Senior (60+)", L884&gt;=40, "Middle-Aged (40-59)", L884&gt;=20, "Young Adult (20-39)")</f>
        <v>Young Adult (20-39)</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_xlfn.IFS(L885&gt;=60, "Senior (60+)", L885&gt;=40, "Middle-Aged (40-59)", L885&gt;=20, "Young Adult (20-39)")</f>
        <v>Middle-Aged (40-59)</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_xlfn.IFS(L886&gt;=60, "Senior (60+)", L886&gt;=40, "Middle-Aged (40-59)", L886&gt;=20, "Young Adult (20-39)")</f>
        <v>Senior (60+)</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_xlfn.IFS(L887&gt;=60, "Senior (60+)", L887&gt;=40, "Middle-Aged (40-59)", L887&gt;=20, "Young Adult (20-39)")</f>
        <v>Middle-Aged (40-59)</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_xlfn.IFS(L888&gt;=60, "Senior (60+)", L888&gt;=40, "Middle-Aged (40-59)", L888&gt;=20, "Young Adult (20-39)")</f>
        <v>Young Adult (20-39)</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_xlfn.IFS(L889&gt;=60, "Senior (60+)", L889&gt;=40, "Middle-Aged (40-59)", L889&gt;=20, "Young Adult (20-39)")</f>
        <v>Young Adult (20-39)</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_xlfn.IFS(L890&gt;=60, "Senior (60+)", L890&gt;=40, "Middle-Aged (40-59)", L890&gt;=20, "Young Adult (20-39)")</f>
        <v>Middle-Aged (40-59)</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_xlfn.IFS(L891&gt;=60, "Senior (60+)", L891&gt;=40, "Middle-Aged (40-59)", L891&gt;=20, "Young Adult (20-39)")</f>
        <v>Young Adult (20-39)</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_xlfn.IFS(L892&gt;=60, "Senior (60+)", L892&gt;=40, "Middle-Aged (40-59)", L892&gt;=20, "Young Adult (20-39)")</f>
        <v>Middle-Aged (40-59)</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_xlfn.IFS(L893&gt;=60, "Senior (60+)", L893&gt;=40, "Middle-Aged (40-59)", L893&gt;=20, "Young Adult (20-39)")</f>
        <v>Senior (60+)</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_xlfn.IFS(L894&gt;=60, "Senior (60+)", L894&gt;=40, "Middle-Aged (40-59)", L894&gt;=20, "Young Adult (20-39)")</f>
        <v>Middle-Aged (40-59)</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_xlfn.IFS(L895&gt;=60, "Senior (60+)", L895&gt;=40, "Middle-Aged (40-59)", L895&gt;=20, "Young Adult (20-39)")</f>
        <v>Young Adult (20-39)</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_xlfn.IFS(L896&gt;=60, "Senior (60+)", L896&gt;=40, "Middle-Aged (40-59)", L896&gt;=20, "Young Adult (20-39)")</f>
        <v>Young Adult (20-39)</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_xlfn.IFS(L897&gt;=60, "Senior (60+)", L897&gt;=40, "Middle-Aged (40-59)", L897&gt;=20, "Young Adult (20-39)")</f>
        <v>Senior (60+)</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_xlfn.IFS(L898&gt;=60, "Senior (60+)", L898&gt;=40, "Middle-Aged (40-59)", L898&gt;=20, "Young Adult (20-39)")</f>
        <v>Young Adult (20-39)</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_xlfn.IFS(L899&gt;=60, "Senior (60+)", L899&gt;=40, "Middle-Aged (40-59)", L899&gt;=20, "Young Adult (20-39)")</f>
        <v>Young Adult (20-39)</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_xlfn.IFS(L900&gt;=60, "Senior (60+)", L900&gt;=40, "Middle-Aged (40-59)", L900&gt;=20, "Young Adult (20-39)")</f>
        <v>Senior (60+)</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_xlfn.IFS(L901&gt;=60, "Senior (60+)", L901&gt;=40, "Middle-Aged (40-59)", L901&gt;=20, "Young Adult (20-39)")</f>
        <v>Middle-Aged (40-59)</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_xlfn.IFS(L902&gt;=60, "Senior (60+)", L902&gt;=40, "Middle-Aged (40-59)", L902&gt;=20, "Young Adult (20-39)")</f>
        <v>Middle-Aged (40-59)</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_xlfn.IFS(L903&gt;=60, "Senior (60+)", L903&gt;=40, "Middle-Aged (40-59)", L903&gt;=20, "Young Adult (20-39)")</f>
        <v>Middle-Aged (40-59)</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_xlfn.IFS(L904&gt;=60, "Senior (60+)", L904&gt;=40, "Middle-Aged (40-59)", L904&gt;=20, "Young Adult (20-39)")</f>
        <v>Middle-Aged (40-59)</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_xlfn.IFS(L905&gt;=60, "Senior (60+)", L905&gt;=40, "Middle-Aged (40-59)", L905&gt;=20, "Young Adult (20-39)")</f>
        <v>Senior (60+)</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_xlfn.IFS(L906&gt;=60, "Senior (60+)", L906&gt;=40, "Middle-Aged (40-59)", L906&gt;=20, "Young Adult (20-39)")</f>
        <v>Young Adult (20-39)</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_xlfn.IFS(L907&gt;=60, "Senior (60+)", L907&gt;=40, "Middle-Aged (40-59)", L907&gt;=20, "Young Adult (20-39)")</f>
        <v>Young Adult (20-39)</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_xlfn.IFS(L908&gt;=60, "Senior (60+)", L908&gt;=40, "Middle-Aged (40-59)", L908&gt;=20, "Young Adult (20-39)")</f>
        <v>Young Adult (20-39)</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_xlfn.IFS(L909&gt;=60, "Senior (60+)", L909&gt;=40, "Middle-Aged (40-59)", L909&gt;=20, "Young Adult (20-39)")</f>
        <v>Senior (60+)</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_xlfn.IFS(L910&gt;=60, "Senior (60+)", L910&gt;=40, "Middle-Aged (40-59)", L910&gt;=20, "Young Adult (20-39)")</f>
        <v>Middle-Aged (40-59)</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_xlfn.IFS(L911&gt;=60, "Senior (60+)", L911&gt;=40, "Middle-Aged (40-59)", L911&gt;=20, "Young Adult (20-39)")</f>
        <v>Young Adult (20-39)</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_xlfn.IFS(L912&gt;=60, "Senior (60+)", L912&gt;=40, "Middle-Aged (40-59)", L912&gt;=20, "Young Adult (20-39)")</f>
        <v>Middle-Aged (40-59)</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_xlfn.IFS(L913&gt;=60, "Senior (60+)", L913&gt;=40, "Middle-Aged (40-59)", L913&gt;=20, "Young Adult (20-39)")</f>
        <v>Senior (60+)</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_xlfn.IFS(L914&gt;=60, "Senior (60+)", L914&gt;=40, "Middle-Aged (40-59)", L914&gt;=20, "Young Adult (20-39)")</f>
        <v>Young Adult (20-39)</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_xlfn.IFS(L915&gt;=60, "Senior (60+)", L915&gt;=40, "Middle-Aged (40-59)", L915&gt;=20, "Young Adult (20-39)")</f>
        <v>Young Adult (20-39)</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_xlfn.IFS(L916&gt;=60, "Senior (60+)", L916&gt;=40, "Middle-Aged (40-59)", L916&gt;=20, "Young Adult (20-39)")</f>
        <v>Middle-Aged (40-59)</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_xlfn.IFS(L917&gt;=60, "Senior (60+)", L917&gt;=40, "Middle-Aged (40-59)", L917&gt;=20, "Young Adult (20-39)")</f>
        <v>Senior (60+)</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_xlfn.IFS(L918&gt;=60, "Senior (60+)", L918&gt;=40, "Middle-Aged (40-59)", L918&gt;=20, "Young Adult (20-39)")</f>
        <v>Young Adult (20-39)</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_xlfn.IFS(L919&gt;=60, "Senior (60+)", L919&gt;=40, "Middle-Aged (40-59)", L919&gt;=20, "Young Adult (20-39)")</f>
        <v>Middle-Aged (40-59)</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_xlfn.IFS(L920&gt;=60, "Senior (60+)", L920&gt;=40, "Middle-Aged (40-59)", L920&gt;=20, "Young Adult (20-39)")</f>
        <v>Young Adult (20-39)</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_xlfn.IFS(L921&gt;=60, "Senior (60+)", L921&gt;=40, "Middle-Aged (40-59)", L921&gt;=20, "Young Adult (20-39)")</f>
        <v>Senior (60+)</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_xlfn.IFS(L922&gt;=60, "Senior (60+)", L922&gt;=40, "Middle-Aged (40-59)", L922&gt;=20, "Young Adult (20-39)")</f>
        <v>Middle-Aged (40-59)</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_xlfn.IFS(L923&gt;=60, "Senior (60+)", L923&gt;=40, "Middle-Aged (40-59)", L923&gt;=20, "Young Adult (20-39)")</f>
        <v>Middle-Aged (40-59)</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_xlfn.IFS(L924&gt;=60, "Senior (60+)", L924&gt;=40, "Middle-Aged (40-59)", L924&gt;=20, "Young Adult (20-39)")</f>
        <v>Middle-Aged (40-59)</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_xlfn.IFS(L925&gt;=60, "Senior (60+)", L925&gt;=40, "Middle-Aged (40-59)", L925&gt;=20, "Young Adult (20-39)")</f>
        <v>Middle-Aged (40-59)</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_xlfn.IFS(L926&gt;=60, "Senior (60+)", L926&gt;=40, "Middle-Aged (40-59)", L926&gt;=20, "Young Adult (20-39)")</f>
        <v>Middle-Aged (40-59)</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_xlfn.IFS(L927&gt;=60, "Senior (60+)", L927&gt;=40, "Middle-Aged (40-59)", L927&gt;=20, "Young Adult (20-39)")</f>
        <v>Young Adult (20-39)</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_xlfn.IFS(L928&gt;=60, "Senior (60+)", L928&gt;=40, "Middle-Aged (40-59)", L928&gt;=20, "Young Adult (20-39)")</f>
        <v>Middle-Aged (40-59)</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_xlfn.IFS(L929&gt;=60, "Senior (60+)", L929&gt;=40, "Middle-Aged (40-59)", L929&gt;=20, "Young Adult (20-39)")</f>
        <v>Young Adult (20-39)</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_xlfn.IFS(L930&gt;=60, "Senior (60+)", L930&gt;=40, "Middle-Aged (40-59)", L930&gt;=20, "Young Adult (20-39)")</f>
        <v>Middle-Aged (40-59)</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_xlfn.IFS(L931&gt;=60, "Senior (60+)", L931&gt;=40, "Middle-Aged (40-59)", L931&gt;=20, "Young Adult (20-39)")</f>
        <v>Middle-Aged (40-59)</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_xlfn.IFS(L932&gt;=60, "Senior (60+)", L932&gt;=40, "Middle-Aged (40-59)", L932&gt;=20, "Young Adult (20-39)")</f>
        <v>Middle-Aged (40-59)</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_xlfn.IFS(L933&gt;=60, "Senior (60+)", L933&gt;=40, "Middle-Aged (40-59)", L933&gt;=20, "Young Adult (20-39)")</f>
        <v>Middle-Aged (40-59)</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_xlfn.IFS(L934&gt;=60, "Senior (60+)", L934&gt;=40, "Middle-Aged (40-59)", L934&gt;=20, "Young Adult (20-39)")</f>
        <v>Young Adult (20-39)</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_xlfn.IFS(L935&gt;=60, "Senior (60+)", L935&gt;=40, "Middle-Aged (40-59)", L935&gt;=20, "Young Adult (20-39)")</f>
        <v>Young Adult (20-39)</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_xlfn.IFS(L936&gt;=60, "Senior (60+)", L936&gt;=40, "Middle-Aged (40-59)", L936&gt;=20, "Young Adult (20-39)")</f>
        <v>Middle-Aged (40-59)</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_xlfn.IFS(L937&gt;=60, "Senior (60+)", L937&gt;=40, "Middle-Aged (40-59)", L937&gt;=20, "Young Adult (20-39)")</f>
        <v>Middle-Aged (40-59)</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_xlfn.IFS(L938&gt;=60, "Senior (60+)", L938&gt;=40, "Middle-Aged (40-59)", L938&gt;=20, "Young Adult (20-39)")</f>
        <v>Senior (60+)</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_xlfn.IFS(L939&gt;=60, "Senior (60+)", L939&gt;=40, "Middle-Aged (40-59)", L939&gt;=20, "Young Adult (20-39)")</f>
        <v>Young Adult (20-39)</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_xlfn.IFS(L940&gt;=60, "Senior (60+)", L940&gt;=40, "Middle-Aged (40-59)", L940&gt;=20, "Young Adult (20-39)")</f>
        <v>Young Adult (20-39)</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_xlfn.IFS(L941&gt;=60, "Senior (60+)", L941&gt;=40, "Middle-Aged (40-59)", L941&gt;=20, "Young Adult (20-39)")</f>
        <v>Middle-Aged (40-59)</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_xlfn.IFS(L942&gt;=60, "Senior (60+)", L942&gt;=40, "Middle-Aged (40-59)", L942&gt;=20, "Young Adult (20-39)")</f>
        <v>Young Adult (20-39)</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_xlfn.IFS(L943&gt;=60, "Senior (60+)", L943&gt;=40, "Middle-Aged (40-59)", L943&gt;=20, "Young Adult (20-39)")</f>
        <v>Young Adult (20-39)</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_xlfn.IFS(L944&gt;=60, "Senior (60+)", L944&gt;=40, "Middle-Aged (40-59)", L944&gt;=20, "Young Adult (20-39)")</f>
        <v>Middle-Aged (40-59)</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_xlfn.IFS(L945&gt;=60, "Senior (60+)", L945&gt;=40, "Middle-Aged (40-59)", L945&gt;=20, "Young Adult (20-39)")</f>
        <v>Middle-Aged (40-59)</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_xlfn.IFS(L946&gt;=60, "Senior (60+)", L946&gt;=40, "Middle-Aged (40-59)", L946&gt;=20, "Young Adult (20-39)")</f>
        <v>Young Adult (20-39)</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_xlfn.IFS(L947&gt;=60, "Senior (60+)", L947&gt;=40, "Middle-Aged (40-59)", L947&gt;=20, "Young Adult (20-39)")</f>
        <v>Young Adult (20-39)</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_xlfn.IFS(L948&gt;=60, "Senior (60+)", L948&gt;=40, "Middle-Aged (40-59)", L948&gt;=20, "Young Adult (20-39)")</f>
        <v>Senior (60+)</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_xlfn.IFS(L949&gt;=60, "Senior (60+)", L949&gt;=40, "Middle-Aged (40-59)", L949&gt;=20, "Young Adult (20-39)")</f>
        <v>Middle-Aged (40-59)</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_xlfn.IFS(L950&gt;=60, "Senior (60+)", L950&gt;=40, "Middle-Aged (40-59)", L950&gt;=20, "Young Adult (20-39)")</f>
        <v>Middle-Aged (40-59)</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_xlfn.IFS(L951&gt;=60, "Senior (60+)", L951&gt;=40, "Middle-Aged (40-59)", L951&gt;=20, "Young Adult (20-39)")</f>
        <v>Middle-Aged (40-59)</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_xlfn.IFS(L952&gt;=60, "Senior (60+)", L952&gt;=40, "Middle-Aged (40-59)", L952&gt;=20, "Young Adult (20-39)")</f>
        <v>Young Adult (20-39)</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_xlfn.IFS(L953&gt;=60, "Senior (60+)", L953&gt;=40, "Middle-Aged (40-59)", L953&gt;=20, "Young Adult (20-39)")</f>
        <v>Young Adult (20-39)</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_xlfn.IFS(L954&gt;=60, "Senior (60+)", L954&gt;=40, "Middle-Aged (40-59)", L954&gt;=20, "Young Adult (20-39)")</f>
        <v>Middle-Aged (40-59)</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_xlfn.IFS(L955&gt;=60, "Senior (60+)", L955&gt;=40, "Middle-Aged (40-59)", L955&gt;=20, "Young Adult (20-39)")</f>
        <v>Young Adult (20-39)</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_xlfn.IFS(L956&gt;=60, "Senior (60+)", L956&gt;=40, "Middle-Aged (40-59)", L956&gt;=20, "Young Adult (20-39)")</f>
        <v>Middle-Aged (40-59)</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_xlfn.IFS(L957&gt;=60, "Senior (60+)", L957&gt;=40, "Middle-Aged (40-59)", L957&gt;=20, "Young Adult (20-39)")</f>
        <v>Middle-Aged (40-59)</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_xlfn.IFS(L958&gt;=60, "Senior (60+)", L958&gt;=40, "Middle-Aged (40-59)", L958&gt;=20, "Young Adult (20-39)")</f>
        <v>Young Adult (20-39)</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_xlfn.IFS(L959&gt;=60, "Senior (60+)", L959&gt;=40, "Middle-Aged (40-59)", L959&gt;=20, "Young Adult (20-39)")</f>
        <v>Young Adult (20-39)</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_xlfn.IFS(L960&gt;=60, "Senior (60+)", L960&gt;=40, "Middle-Aged (40-59)", L960&gt;=20, "Young Adult (20-39)")</f>
        <v>Middle-Aged (40-59)</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_xlfn.IFS(L961&gt;=60, "Senior (60+)", L961&gt;=40, "Middle-Aged (40-59)", L961&gt;=20, "Young Adult (20-39)")</f>
        <v>Middle-Aged (40-59)</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_xlfn.IFS(L962&gt;=60, "Senior (60+)", L962&gt;=40, "Middle-Aged (40-59)", L962&gt;=20, "Young Adult (20-39)")</f>
        <v>Middle-Aged (40-59)</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_xlfn.IFS(L963&gt;=60, "Senior (60+)", L963&gt;=40, "Middle-Aged (40-59)", L963&gt;=20, "Young Adult (20-39)")</f>
        <v>Senior (60+)</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_xlfn.IFS(L964&gt;=60, "Senior (60+)", L964&gt;=40, "Middle-Aged (40-59)", L964&gt;=20, "Young Adult (20-39)")</f>
        <v>Middle-Aged (40-59)</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_xlfn.IFS(L965&gt;=60, "Senior (60+)", L965&gt;=40, "Middle-Aged (40-59)", L965&gt;=20, "Young Adult (20-39)")</f>
        <v>Senior (60+)</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_xlfn.IFS(L966&gt;=60, "Senior (60+)", L966&gt;=40, "Middle-Aged (40-59)", L966&gt;=20, "Young Adult (20-39)")</f>
        <v>Middle-Aged (40-59)</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_xlfn.IFS(L967&gt;=60, "Senior (60+)", L967&gt;=40, "Middle-Aged (40-59)", L967&gt;=20, "Young Adult (20-39)")</f>
        <v>Middle-Aged (40-59)</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_xlfn.IFS(L968&gt;=60, "Senior (60+)", L968&gt;=40, "Middle-Aged (40-59)", L968&gt;=20, "Young Adult (20-39)")</f>
        <v>Young Adult (20-39)</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_xlfn.IFS(L969&gt;=60, "Senior (60+)", L969&gt;=40, "Middle-Aged (40-59)", L969&gt;=20, "Young Adult (20-39)")</f>
        <v>Middle-Aged (40-59)</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_xlfn.IFS(L970&gt;=60, "Senior (60+)", L970&gt;=40, "Middle-Aged (40-59)", L970&gt;=20, "Young Adult (20-39)")</f>
        <v>Young Adult (20-39)</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_xlfn.IFS(L971&gt;=60, "Senior (60+)", L971&gt;=40, "Middle-Aged (40-59)", L971&gt;=20, "Young Adult (20-39)")</f>
        <v>Young Adult (20-39)</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_xlfn.IFS(L972&gt;=60, "Senior (60+)", L972&gt;=40, "Middle-Aged (40-59)", L972&gt;=20, "Young Adult (20-39)")</f>
        <v>Young Adult (20-39)</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_xlfn.IFS(L973&gt;=60, "Senior (60+)", L973&gt;=40, "Middle-Aged (40-59)", L973&gt;=20, "Young Adult (20-39)")</f>
        <v>Middle-Aged (40-59)</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_xlfn.IFS(L974&gt;=60, "Senior (60+)", L974&gt;=40, "Middle-Aged (40-59)", L974&gt;=20, "Young Adult (20-39)")</f>
        <v>Middle-Aged (40-59)</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_xlfn.IFS(L975&gt;=60, "Senior (60+)", L975&gt;=40, "Middle-Aged (40-59)", L975&gt;=20, "Young Adult (20-39)")</f>
        <v>Middle-Aged (40-59)</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_xlfn.IFS(L976&gt;=60, "Senior (60+)", L976&gt;=40, "Middle-Aged (40-59)", L976&gt;=20, "Young Adult (20-39)")</f>
        <v>Middle-Aged (40-59)</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_xlfn.IFS(L977&gt;=60, "Senior (60+)", L977&gt;=40, "Middle-Aged (40-59)", L977&gt;=20, "Young Adult (20-39)")</f>
        <v>Young Adult (20-39)</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_xlfn.IFS(L978&gt;=60, "Senior (60+)", L978&gt;=40, "Middle-Aged (40-59)", L978&gt;=20, "Young Adult (20-39)")</f>
        <v>Senior (60+)</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_xlfn.IFS(L979&gt;=60, "Senior (60+)", L979&gt;=40, "Middle-Aged (40-59)", L979&gt;=20, "Young Adult (20-39)")</f>
        <v>Senior (60+)</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_xlfn.IFS(L980&gt;=60, "Senior (60+)", L980&gt;=40, "Middle-Aged (40-59)", L980&gt;=20, "Young Adult (20-39)")</f>
        <v>Middle-Aged (40-59)</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_xlfn.IFS(L981&gt;=60, "Senior (60+)", L981&gt;=40, "Middle-Aged (40-59)", L981&gt;=20, "Young Adult (20-39)")</f>
        <v>Young Adult (20-39)</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_xlfn.IFS(L982&gt;=60, "Senior (60+)", L982&gt;=40, "Middle-Aged (40-59)", L982&gt;=20, "Young Adult (20-39)")</f>
        <v>Middle-Aged (40-59)</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_xlfn.IFS(L983&gt;=60, "Senior (60+)", L983&gt;=40, "Middle-Aged (40-59)", L983&gt;=20, "Young Adult (20-39)")</f>
        <v>Middle-Aged (40-59)</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_xlfn.IFS(L984&gt;=60, "Senior (60+)", L984&gt;=40, "Middle-Aged (40-59)", L984&gt;=20, "Young Adult (20-39)")</f>
        <v>Middle-Aged (40-59)</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_xlfn.IFS(L985&gt;=60, "Senior (60+)", L985&gt;=40, "Middle-Aged (40-59)", L985&gt;=20, "Young Adult (20-39)")</f>
        <v>Middle-Aged (40-59)</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_xlfn.IFS(L986&gt;=60, "Senior (60+)", L986&gt;=40, "Middle-Aged (40-59)", L986&gt;=20, "Young Adult (20-39)")</f>
        <v>Middle-Aged (40-59)</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_xlfn.IFS(L987&gt;=60, "Senior (60+)", L987&gt;=40, "Middle-Aged (40-59)", L987&gt;=20, "Young Adult (20-39)")</f>
        <v>Middle-Aged (40-59)</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_xlfn.IFS(L988&gt;=60, "Senior (60+)", L988&gt;=40, "Middle-Aged (40-59)", L988&gt;=20, "Young Adult (20-39)")</f>
        <v>Senior (60+)</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_xlfn.IFS(L989&gt;=60, "Senior (60+)", L989&gt;=40, "Middle-Aged (40-59)", L989&gt;=20, "Young Adult (20-39)")</f>
        <v>Senior (60+)</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_xlfn.IFS(L990&gt;=60, "Senior (60+)", L990&gt;=40, "Middle-Aged (40-59)", L990&gt;=20, "Young Adult (20-39)")</f>
        <v>Senior (60+)</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_xlfn.IFS(L991&gt;=60, "Senior (60+)", L991&gt;=40, "Middle-Aged (40-59)", L991&gt;=20, "Young Adult (20-39)")</f>
        <v>Middle-Aged (40-59)</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_xlfn.IFS(L992&gt;=60, "Senior (60+)", L992&gt;=40, "Middle-Aged (40-59)", L992&gt;=20, "Young Adult (20-39)")</f>
        <v>Young Adult (20-39)</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_xlfn.IFS(L993&gt;=60, "Senior (60+)", L993&gt;=40, "Middle-Aged (40-59)", L993&gt;=20, "Young Adult (20-39)")</f>
        <v>Young Adult (20-39)</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_xlfn.IFS(L994&gt;=60, "Senior (60+)", L994&gt;=40, "Middle-Aged (40-59)", L994&gt;=20, "Young Adult (20-39)")</f>
        <v>Middle-Aged (40-59)</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_xlfn.IFS(L995&gt;=60, "Senior (60+)", L995&gt;=40, "Middle-Aged (40-59)", L995&gt;=20, "Young Adult (20-39)")</f>
        <v>Middle-Aged (40-59)</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_xlfn.IFS(L996&gt;=60, "Senior (60+)", L996&gt;=40, "Middle-Aged (40-59)", L996&gt;=20, "Young Adult (20-39)")</f>
        <v>Middle-Aged (40-59)</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_xlfn.IFS(L997&gt;=60, "Senior (60+)", L997&gt;=40, "Middle-Aged (40-59)", L997&gt;=20, "Young Adult (20-39)")</f>
        <v>Middle-Aged (40-59)</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_xlfn.IFS(L998&gt;=60, "Senior (60+)", L998&gt;=40, "Middle-Aged (40-59)", L998&gt;=20, "Young Adult (20-39)")</f>
        <v>Young Adult (20-39)</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_xlfn.IFS(L999&gt;=60, "Senior (60+)", L999&gt;=40, "Middle-Aged (40-59)", L999&gt;=20, "Young Adult (20-39)")</f>
        <v>Young Adult (20-39)</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_xlfn.IFS(L1000&gt;=60, "Senior (60+)", L1000&gt;=40, "Middle-Aged (40-59)", L1000&gt;=20, "Young Adult (20-39)")</f>
        <v>Young Adult (20-39)</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_xlfn.IFS(L1001&gt;=60, "Senior (60+)", L1001&gt;=40, "Middle-Aged (40-59)", L1001&gt;=20, "Young Adult (20-39)")</f>
        <v>Middle-Aged (40-59)</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5817-4FB0-4130-8F91-9AE846603F04}">
  <dimension ref="A1:D63"/>
  <sheetViews>
    <sheetView topLeftCell="A43" zoomScaleNormal="100" workbookViewId="0">
      <selection activeCell="A79" sqref="A79:D134"/>
    </sheetView>
  </sheetViews>
  <sheetFormatPr defaultRowHeight="14.4" x14ac:dyDescent="0.3"/>
  <cols>
    <col min="1" max="1" width="22.21875" bestFit="1" customWidth="1"/>
    <col min="2" max="2" width="15.77734375" bestFit="1" customWidth="1"/>
    <col min="3" max="3" width="4" bestFit="1" customWidth="1"/>
    <col min="4" max="4" width="11" bestFit="1" customWidth="1"/>
    <col min="5" max="5" width="26.6640625" bestFit="1" customWidth="1"/>
    <col min="6" max="6" width="15.44140625" bestFit="1" customWidth="1"/>
    <col min="7" max="52" width="7.5546875" bestFit="1" customWidth="1"/>
    <col min="53" max="53" width="8.109375" bestFit="1" customWidth="1"/>
    <col min="54" max="100" width="7.5546875" bestFit="1" customWidth="1"/>
    <col min="101" max="101" width="8.5546875" bestFit="1" customWidth="1"/>
    <col min="102" max="102" width="8.44140625" bestFit="1" customWidth="1"/>
    <col min="103" max="103" width="10.77734375" bestFit="1" customWidth="1"/>
  </cols>
  <sheetData>
    <row r="1" spans="1:4" x14ac:dyDescent="0.3">
      <c r="A1" s="7" t="s">
        <v>43</v>
      </c>
      <c r="B1" s="7" t="s">
        <v>44</v>
      </c>
    </row>
    <row r="2" spans="1:4" x14ac:dyDescent="0.3">
      <c r="A2" s="7" t="s">
        <v>41</v>
      </c>
      <c r="B2" t="s">
        <v>18</v>
      </c>
      <c r="C2" t="s">
        <v>15</v>
      </c>
      <c r="D2" t="s">
        <v>42</v>
      </c>
    </row>
    <row r="3" spans="1:4" x14ac:dyDescent="0.3">
      <c r="A3" s="8" t="s">
        <v>38</v>
      </c>
      <c r="B3" s="3">
        <v>53440</v>
      </c>
      <c r="C3" s="3">
        <v>55774.058577405856</v>
      </c>
      <c r="D3" s="3">
        <v>54580.777096114522</v>
      </c>
    </row>
    <row r="4" spans="1:4" x14ac:dyDescent="0.3">
      <c r="A4" s="8" t="s">
        <v>39</v>
      </c>
      <c r="B4" s="3">
        <v>56208.178438661707</v>
      </c>
      <c r="C4" s="3">
        <v>60123.966942148763</v>
      </c>
      <c r="D4" s="3">
        <v>58062.62230919765</v>
      </c>
    </row>
    <row r="5" spans="1:4" x14ac:dyDescent="0.3">
      <c r="A5" s="8" t="s">
        <v>42</v>
      </c>
      <c r="B5" s="3">
        <v>54874.759152215796</v>
      </c>
      <c r="C5" s="3">
        <v>57962.577962577961</v>
      </c>
      <c r="D5" s="3">
        <v>56360</v>
      </c>
    </row>
    <row r="34" spans="1:4" x14ac:dyDescent="0.3">
      <c r="A34" s="7" t="s">
        <v>45</v>
      </c>
      <c r="B34" s="7" t="s">
        <v>44</v>
      </c>
    </row>
    <row r="35" spans="1:4" x14ac:dyDescent="0.3">
      <c r="A35" s="7" t="s">
        <v>41</v>
      </c>
      <c r="B35" t="s">
        <v>18</v>
      </c>
      <c r="C35" t="s">
        <v>15</v>
      </c>
      <c r="D35" t="s">
        <v>42</v>
      </c>
    </row>
    <row r="36" spans="1:4" x14ac:dyDescent="0.3">
      <c r="A36" s="8" t="s">
        <v>16</v>
      </c>
      <c r="B36" s="6">
        <v>166</v>
      </c>
      <c r="C36" s="6">
        <v>200</v>
      </c>
      <c r="D36" s="6">
        <v>366</v>
      </c>
    </row>
    <row r="37" spans="1:4" x14ac:dyDescent="0.3">
      <c r="A37" s="8" t="s">
        <v>26</v>
      </c>
      <c r="B37" s="6">
        <v>92</v>
      </c>
      <c r="C37" s="6">
        <v>77</v>
      </c>
      <c r="D37" s="6">
        <v>169</v>
      </c>
    </row>
    <row r="38" spans="1:4" x14ac:dyDescent="0.3">
      <c r="A38" s="8" t="s">
        <v>22</v>
      </c>
      <c r="B38" s="6">
        <v>67</v>
      </c>
      <c r="C38" s="6">
        <v>95</v>
      </c>
      <c r="D38" s="6">
        <v>162</v>
      </c>
    </row>
    <row r="39" spans="1:4" x14ac:dyDescent="0.3">
      <c r="A39" s="8" t="s">
        <v>23</v>
      </c>
      <c r="B39" s="6">
        <v>116</v>
      </c>
      <c r="C39" s="6">
        <v>76</v>
      </c>
      <c r="D39" s="6">
        <v>192</v>
      </c>
    </row>
    <row r="40" spans="1:4" x14ac:dyDescent="0.3">
      <c r="A40" s="8" t="s">
        <v>46</v>
      </c>
      <c r="B40" s="6">
        <v>78</v>
      </c>
      <c r="C40" s="6">
        <v>33</v>
      </c>
      <c r="D40" s="6">
        <v>111</v>
      </c>
    </row>
    <row r="41" spans="1:4" x14ac:dyDescent="0.3">
      <c r="A41" s="8" t="s">
        <v>42</v>
      </c>
      <c r="B41" s="6">
        <v>519</v>
      </c>
      <c r="C41" s="6">
        <v>481</v>
      </c>
      <c r="D41" s="6">
        <v>1000</v>
      </c>
    </row>
    <row r="58" spans="1:4" x14ac:dyDescent="0.3">
      <c r="A58" s="7" t="s">
        <v>45</v>
      </c>
      <c r="B58" s="7" t="s">
        <v>44</v>
      </c>
    </row>
    <row r="59" spans="1:4" x14ac:dyDescent="0.3">
      <c r="A59" s="7" t="s">
        <v>41</v>
      </c>
      <c r="B59" t="s">
        <v>18</v>
      </c>
      <c r="C59" t="s">
        <v>15</v>
      </c>
      <c r="D59" t="s">
        <v>42</v>
      </c>
    </row>
    <row r="60" spans="1:4" x14ac:dyDescent="0.3">
      <c r="A60" s="8" t="s">
        <v>49</v>
      </c>
      <c r="B60" s="6">
        <v>170</v>
      </c>
      <c r="C60" s="6">
        <v>214</v>
      </c>
      <c r="D60" s="6">
        <v>384</v>
      </c>
    </row>
    <row r="61" spans="1:4" x14ac:dyDescent="0.3">
      <c r="A61" s="8" t="s">
        <v>47</v>
      </c>
      <c r="B61" s="6">
        <v>271</v>
      </c>
      <c r="C61" s="6">
        <v>230</v>
      </c>
      <c r="D61" s="6">
        <v>501</v>
      </c>
    </row>
    <row r="62" spans="1:4" x14ac:dyDescent="0.3">
      <c r="A62" s="8" t="s">
        <v>48</v>
      </c>
      <c r="B62" s="6">
        <v>78</v>
      </c>
      <c r="C62" s="6">
        <v>37</v>
      </c>
      <c r="D62" s="6">
        <v>115</v>
      </c>
    </row>
    <row r="63" spans="1:4" x14ac:dyDescent="0.3">
      <c r="A63" s="8" t="s">
        <v>42</v>
      </c>
      <c r="B63" s="6">
        <v>519</v>
      </c>
      <c r="C63" s="6">
        <v>481</v>
      </c>
      <c r="D6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8F8E-3690-4DAE-9284-8746DD116C67}">
  <dimension ref="A1:T5"/>
  <sheetViews>
    <sheetView showGridLines="0" tabSelected="1" zoomScale="115" zoomScaleNormal="115" workbookViewId="0">
      <selection activeCell="B32" sqref="B32"/>
    </sheetView>
  </sheetViews>
  <sheetFormatPr defaultRowHeight="14.4" x14ac:dyDescent="0.3"/>
  <sheetData>
    <row r="1" spans="1:20" ht="14.4" customHeight="1" x14ac:dyDescent="0.3">
      <c r="A1" s="9" t="s">
        <v>50</v>
      </c>
      <c r="B1" s="9"/>
      <c r="C1" s="9"/>
      <c r="D1" s="9"/>
      <c r="E1" s="9"/>
      <c r="F1" s="9"/>
      <c r="G1" s="9"/>
      <c r="H1" s="9"/>
      <c r="I1" s="9"/>
      <c r="J1" s="9"/>
      <c r="K1" s="9"/>
      <c r="L1" s="9"/>
      <c r="M1" s="9"/>
      <c r="N1" s="9"/>
      <c r="O1" s="9"/>
      <c r="P1" s="9"/>
      <c r="Q1" s="9"/>
      <c r="R1" s="9"/>
      <c r="S1" s="9"/>
      <c r="T1" s="9"/>
    </row>
    <row r="2" spans="1:20" ht="14.4" customHeight="1" x14ac:dyDescent="0.3">
      <c r="A2" s="9"/>
      <c r="B2" s="9"/>
      <c r="C2" s="9"/>
      <c r="D2" s="9"/>
      <c r="E2" s="9"/>
      <c r="F2" s="9"/>
      <c r="G2" s="9"/>
      <c r="H2" s="9"/>
      <c r="I2" s="9"/>
      <c r="J2" s="9"/>
      <c r="K2" s="9"/>
      <c r="L2" s="9"/>
      <c r="M2" s="9"/>
      <c r="N2" s="9"/>
      <c r="O2" s="9"/>
      <c r="P2" s="9"/>
      <c r="Q2" s="9"/>
      <c r="R2" s="9"/>
      <c r="S2" s="9"/>
      <c r="T2" s="9"/>
    </row>
    <row r="3" spans="1:20" ht="14.4" customHeight="1" x14ac:dyDescent="0.3">
      <c r="A3" s="9"/>
      <c r="B3" s="9"/>
      <c r="C3" s="9"/>
      <c r="D3" s="9"/>
      <c r="E3" s="9"/>
      <c r="F3" s="9"/>
      <c r="G3" s="9"/>
      <c r="H3" s="9"/>
      <c r="I3" s="9"/>
      <c r="J3" s="9"/>
      <c r="K3" s="9"/>
      <c r="L3" s="9"/>
      <c r="M3" s="9"/>
      <c r="N3" s="9"/>
      <c r="O3" s="9"/>
      <c r="P3" s="9"/>
      <c r="Q3" s="9"/>
      <c r="R3" s="9"/>
      <c r="S3" s="9"/>
      <c r="T3" s="9"/>
    </row>
    <row r="4" spans="1:20" ht="14.4" customHeight="1" x14ac:dyDescent="0.3">
      <c r="A4" s="9"/>
      <c r="B4" s="9"/>
      <c r="C4" s="9"/>
      <c r="D4" s="9"/>
      <c r="E4" s="9"/>
      <c r="F4" s="9"/>
      <c r="G4" s="9"/>
      <c r="H4" s="9"/>
      <c r="I4" s="9"/>
      <c r="J4" s="9"/>
      <c r="K4" s="9"/>
      <c r="L4" s="9"/>
      <c r="M4" s="9"/>
      <c r="N4" s="9"/>
      <c r="O4" s="9"/>
      <c r="P4" s="9"/>
      <c r="Q4" s="9"/>
      <c r="R4" s="9"/>
      <c r="S4" s="9"/>
      <c r="T4" s="9"/>
    </row>
    <row r="5" spans="1:20" ht="14.4" customHeight="1" x14ac:dyDescent="0.3">
      <c r="A5" s="9"/>
      <c r="B5" s="9"/>
      <c r="C5" s="9"/>
      <c r="D5" s="9"/>
      <c r="E5" s="9"/>
      <c r="F5" s="9"/>
      <c r="G5" s="9"/>
      <c r="H5" s="9"/>
      <c r="I5" s="9"/>
      <c r="J5" s="9"/>
      <c r="K5" s="9"/>
      <c r="L5" s="9"/>
      <c r="M5" s="9"/>
      <c r="N5" s="9"/>
      <c r="O5" s="9"/>
      <c r="P5" s="9"/>
      <c r="Q5" s="9"/>
      <c r="R5" s="9"/>
      <c r="S5" s="9"/>
      <c r="T5" s="9"/>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Alden Reyes</cp:lastModifiedBy>
  <dcterms:created xsi:type="dcterms:W3CDTF">2022-03-18T02:50:57Z</dcterms:created>
  <dcterms:modified xsi:type="dcterms:W3CDTF">2026-09-09T19:37:35Z</dcterms:modified>
</cp:coreProperties>
</file>